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9faefdb2243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138d4e8c532e4e5c"/>
    <x:sheet xmlns:r="http://schemas.openxmlformats.org/officeDocument/2006/relationships" name="通用资料" sheetId="2" r:id="R3ce4abd371b346fa"/>
    <x:sheet xmlns:r="http://schemas.openxmlformats.org/officeDocument/2006/relationships" name="收入" sheetId="3" r:id="R279c9c3d56af4752"/>
    <x:sheet xmlns:r="http://schemas.openxmlformats.org/officeDocument/2006/relationships" name="应收账款" sheetId="4" r:id="R602b282120254675"/>
    <x:sheet xmlns:r="http://schemas.openxmlformats.org/officeDocument/2006/relationships" name="存货" sheetId="5" r:id="Ra75735c9160e41c1"/>
    <x:sheet xmlns:r="http://schemas.openxmlformats.org/officeDocument/2006/relationships" name="采购与成本" sheetId="6" r:id="R79c5d8bb626a4eea"/>
    <x:sheet xmlns:r="http://schemas.openxmlformats.org/officeDocument/2006/relationships" name="资金与借款" sheetId="7" r:id="Ra58007e76d834f2e"/>
    <x:sheet xmlns:r="http://schemas.openxmlformats.org/officeDocument/2006/relationships" name="其他重点项目" sheetId="8" r:id="Rd12185e47fb646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684"/>
      <x:name val="Carlito"/>
    </x:font>
    <x:font>
      <x:sz val="10"/>
      <x:color rgb="FF17212B"/>
      <x:name val="Carlito"/>
    </x:font>
    <x:font>
      <x:b/>
      <x:sz val="10"/>
      <x:color rgb="FF153A5B"/>
      <x:name val="Carlito"/>
    </x:font>
    <x:font>
      <x:sz val="10"/>
      <x:color rgb="FF008000"/>
      <x:name val="Carlito"/>
    </x:font>
    <x:font>
      <x:b/>
      <x:sz val="10"/>
      <x:color rgb="FF008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A5B"/>
      </x:patternFill>
    </x:fill>
    <x:fill>
      <x:patternFill patternType="solid">
        <x:fgColor rgb="FFEFF7FC"/>
      </x:patternFill>
    </x:fill>
    <x:fill>
      <x:patternFill patternType="solid">
        <x:fgColor rgb="FFD9EEFF"/>
      </x:patternFill>
    </x:fill>
  </x:fills>
  <x:borders count="5">
    <x:border/>
    <x:border>
      <x:bottom style="thin">
        <x:color rgb="FFD8E0E7"/>
      </x:bottom>
    </x:border>
    <x:border>
      <x:top style="thin">
        <x:color rgb="FFD8E0E7"/>
      </x:top>
      <x:bottom style="thin">
        <x:color rgb="FFD8E0E7"/>
      </x:bottom>
    </x:border>
    <x:border>
      <x:bottom style="medium">
        <x:color rgb="FF3D8DFF"/>
      </x:bottom>
    </x:border>
    <x:border>
      <x:top style="medium">
        <x:color rgb="FF3D8DFF"/>
      </x:top>
      <x:bottom style="thin">
        <x:color rgb="FFD8E0E7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6" fillId="3" borderId="4" xfId="0" applyNumberFormat="1" applyFont="1" applyFill="1" applyBorder="1" applyAlignment="1">
      <x:alignment vertical="center" wrapText="1"/>
    </x:xf>
    <x:xf numFmtId="200" fontId="5" fillId="0" borderId="2" xfId="0" applyNumberFormat="1" applyFont="1" applyFill="1" applyBorder="1" applyAlignment="1">
      <x:alignment vertical="center" wrapText="1"/>
    </x:xf>
    <x:xf numFmtId="200" fontId="6" fillId="3" borderId="4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201" fontId="3" fillId="0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1">
    <x:dxf>
      <x:font>
        <x:b/>
        <x:color rgb="FF176B3A"/>
      </x:font>
      <x:fill>
        <x:patternFill>
          <x:bgColor rgb="FFDDF4E7"/>
        </x:patternFill>
      </x:fill>
    </x:dxf>
    <x:dxf>
      <x:font>
        <x:b/>
        <x:color rgb="FF7A4B00"/>
      </x:font>
      <x:fill>
        <x:patternFill>
          <x:bgColor rgb="FFFFF0C2"/>
        </x:patternFill>
      </x:fill>
    </x:dxf>
    <x:dxf>
      <x:font>
        <x:color rgb="FF9F1D1D"/>
      </x:font>
      <x:fill>
        <x:patternFill>
          <x:bgColor rgb="FFFBE2E2"/>
        </x:patternFill>
      </x:fill>
    </x:dxf>
    <x:dxf>
      <x:font>
        <x:b/>
        <x:color rgb="FF176B3A"/>
      </x:font>
      <x:fill>
        <x:patternFill>
          <x:bgColor rgb="FFDDF4E7"/>
        </x:patternFill>
      </x:fill>
    </x:dxf>
    <x:dxf>
      <x:font>
        <x:b/>
        <x:color rgb="FF7A4B00"/>
      </x:font>
      <x:fill>
        <x:patternFill>
          <x:bgColor rgb="FFFFF0C2"/>
        </x:patternFill>
      </x:fill>
    </x:dxf>
    <x:dxf>
      <x:font>
        <x:color rgb="FF9F1D1D"/>
      </x:font>
      <x:fill>
        <x:patternFill>
          <x:bgColor rgb="FFFBE2E2"/>
        </x:patternFill>
      </x:fill>
    </x:dxf>
    <x:dxf>
      <x:font>
        <x:b/>
        <x:color rgb="FF176B3A"/>
      </x:font>
      <x:fill>
        <x:patternFill>
          <x:bgColor rgb="FFDDF4E7"/>
        </x:patternFill>
      </x:fill>
    </x:dxf>
    <x:dxf>
      <x:font>
        <x:b/>
        <x:color rgb="FF7A4B00"/>
      </x:font>
      <x:fill>
        <x:patternFill>
          <x:bgColor rgb="FFFFF0C2"/>
        </x:patternFill>
      </x:fill>
    </x:dxf>
    <x:dxf>
      <x:font>
        <x:color rgb="FF9F1D1D"/>
      </x:font>
      <x:fill>
        <x:patternFill>
          <x:bgColor rgb="FFFBE2E2"/>
        </x:patternFill>
      </x:fill>
    </x:dxf>
    <x:dxf>
      <x:font>
        <x:b/>
        <x:color rgb="FF176B3A"/>
      </x:font>
      <x:fill>
        <x:patternFill>
          <x:bgColor rgb="FFDDF4E7"/>
        </x:patternFill>
      </x:fill>
    </x:dxf>
    <x:dxf>
      <x:font>
        <x:b/>
        <x:color rgb="FF7A4B00"/>
      </x:font>
      <x:fill>
        <x:patternFill>
          <x:bgColor rgb="FFFFF0C2"/>
        </x:patternFill>
      </x:fill>
    </x:dxf>
    <x:dxf>
      <x:font>
        <x:color rgb="FF9F1D1D"/>
      </x:font>
      <x:fill>
        <x:patternFill>
          <x:bgColor rgb="FFFBE2E2"/>
        </x:patternFill>
      </x:fill>
    </x:dxf>
    <x:dxf>
      <x:font>
        <x:b/>
        <x:color rgb="FF176B3A"/>
      </x:font>
      <x:fill>
        <x:patternFill>
          <x:bgColor rgb="FFDDF4E7"/>
        </x:patternFill>
      </x:fill>
    </x:dxf>
    <x:dxf>
      <x:font>
        <x:b/>
        <x:color rgb="FF7A4B00"/>
      </x:font>
      <x:fill>
        <x:patternFill>
          <x:bgColor rgb="FFFFF0C2"/>
        </x:patternFill>
      </x:fill>
    </x:dxf>
    <x:dxf>
      <x:font>
        <x:color rgb="FF9F1D1D"/>
      </x:font>
      <x:fill>
        <x:patternFill>
          <x:bgColor rgb="FFFBE2E2"/>
        </x:patternFill>
      </x:fill>
    </x:dxf>
    <x:dxf>
      <x:font>
        <x:b/>
        <x:color rgb="FF176B3A"/>
      </x:font>
      <x:fill>
        <x:patternFill>
          <x:bgColor rgb="FFDDF4E7"/>
        </x:patternFill>
      </x:fill>
    </x:dxf>
    <x:dxf>
      <x:font>
        <x:b/>
        <x:color rgb="FF7A4B00"/>
      </x:font>
      <x:fill>
        <x:patternFill>
          <x:bgColor rgb="FFFFF0C2"/>
        </x:patternFill>
      </x:fill>
    </x:dxf>
    <x:dxf>
      <x:font>
        <x:color rgb="FF9F1D1D"/>
      </x:font>
      <x:fill>
        <x:patternFill>
          <x:bgColor rgb="FFFBE2E2"/>
        </x:patternFill>
      </x:fill>
    </x:dxf>
    <x:dxf>
      <x:font>
        <x:b/>
        <x:color rgb="FF176B3A"/>
      </x:font>
      <x:fill>
        <x:patternFill>
          <x:bgColor rgb="FFDDF4E7"/>
        </x:patternFill>
      </x:fill>
    </x:dxf>
    <x:dxf>
      <x:font>
        <x:b/>
        <x:color rgb="FF7A4B00"/>
      </x:font>
      <x:fill>
        <x:patternFill>
          <x:bgColor rgb="FFFFF0C2"/>
        </x:patternFill>
      </x:fill>
    </x:dxf>
    <x:dxf>
      <x:font>
        <x:color rgb="FF9F1D1D"/>
      </x:font>
      <x:fill>
        <x:patternFill>
          <x:bgColor rgb="FFFB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fb27fdc67148c0" /><Relationship Type="http://schemas.openxmlformats.org/officeDocument/2006/relationships/theme" Target="/xl/theme/theme1.xml" Id="R1fe906b2cff04d67" /><Relationship Type="http://schemas.openxmlformats.org/officeDocument/2006/relationships/sharedStrings" Target="/xl/sharedStrings.xml" Id="R8160e67986f941ec" /><Relationship Type="http://schemas.openxmlformats.org/officeDocument/2006/relationships/worksheet" Target="/xl/worksheets/sheet1.xml" Id="R138d4e8c532e4e5c" /><Relationship Type="http://schemas.openxmlformats.org/officeDocument/2006/relationships/worksheet" Target="/xl/worksheets/sheet2.xml" Id="R3ce4abd371b346fa" /><Relationship Type="http://schemas.openxmlformats.org/officeDocument/2006/relationships/worksheet" Target="/xl/worksheets/sheet3.xml" Id="R279c9c3d56af4752" /><Relationship Type="http://schemas.openxmlformats.org/officeDocument/2006/relationships/worksheet" Target="/xl/worksheets/sheet4.xml" Id="R602b282120254675" /><Relationship Type="http://schemas.openxmlformats.org/officeDocument/2006/relationships/worksheet" Target="/xl/worksheets/sheet5.xml" Id="Ra75735c9160e41c1" /><Relationship Type="http://schemas.openxmlformats.org/officeDocument/2006/relationships/worksheet" Target="/xl/worksheets/sheet6.xml" Id="R79c5d8bb626a4eea" /><Relationship Type="http://schemas.openxmlformats.org/officeDocument/2006/relationships/worksheet" Target="/xl/worksheets/sheet7.xml" Id="Ra58007e76d834f2e" /><Relationship Type="http://schemas.openxmlformats.org/officeDocument/2006/relationships/worksheet" Target="/xl/worksheets/sheet8.xml" Id="Rd12185e47fb646f7" /></Relationships>
</file>

<file path=xl/tables/table1.xml><?xml version="1.0" encoding="utf-8"?>
<x:table xmlns:x="http://schemas.openxmlformats.org/spreadsheetml/2006/main" id="1" name="ChecklistOverview" displayName="ChecklistOverview" ref="A4:H12" headerRowCount="1" totalsRowCount="0" totalsRowShown="0">
  <x:tableColumns count="8">
    <x:tableColumn id="1" name="模块"/>
    <x:tableColumn id="2" name="资料总数"/>
    <x:tableColumn id="3" name="高优先级"/>
    <x:tableColumn id="4" name="已提供"/>
    <x:tableColumn id="5" name="待补充"/>
    <x:tableColumn id="6" name="未提供"/>
    <x:tableColumn id="7" name="完成率"/>
    <x:tableColumn id="8" name="负责人提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ecklist_1" displayName="Checklist_1" ref="A1:L12" headerRowCount="1" totalsRowCount="0" totalsRowShown="0">
  <x:autoFilter ref="A1:L12"/>
  <x:tableColumns count="12">
    <x:tableColumn id="1" name="序号"/>
    <x:tableColumn id="2" name="模块"/>
    <x:tableColumn id="3" name="资料名称"/>
    <x:tableColumn id="4" name="资料说明"/>
    <x:tableColumn id="5" name="对应期间"/>
    <x:tableColumn id="6" name="格式要求"/>
    <x:tableColumn id="7" name="责任部门"/>
    <x:tableColumn id="8" name="优先级"/>
    <x:tableColumn id="9" name="计划提供日期"/>
    <x:tableColumn id="10" name="实际提供日期"/>
    <x:tableColumn id="11" name="状态"/>
    <x:tableColumn id="12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ecklist_2" displayName="Checklist_2" ref="A1:L12" headerRowCount="1" totalsRowCount="0" totalsRowShown="0">
  <x:autoFilter ref="A1:L12"/>
  <x:tableColumns count="12">
    <x:tableColumn id="1" name="序号"/>
    <x:tableColumn id="2" name="模块"/>
    <x:tableColumn id="3" name="资料名称"/>
    <x:tableColumn id="4" name="资料说明"/>
    <x:tableColumn id="5" name="对应期间"/>
    <x:tableColumn id="6" name="格式要求"/>
    <x:tableColumn id="7" name="责任部门"/>
    <x:tableColumn id="8" name="优先级"/>
    <x:tableColumn id="9" name="计划提供日期"/>
    <x:tableColumn id="10" name="实际提供日期"/>
    <x:tableColumn id="11" name="状态"/>
    <x:tableColumn id="12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hecklist_3" displayName="Checklist_3" ref="A1:L11" headerRowCount="1" totalsRowCount="0" totalsRowShown="0">
  <x:autoFilter ref="A1:L11"/>
  <x:tableColumns count="12">
    <x:tableColumn id="1" name="序号"/>
    <x:tableColumn id="2" name="模块"/>
    <x:tableColumn id="3" name="资料名称"/>
    <x:tableColumn id="4" name="资料说明"/>
    <x:tableColumn id="5" name="对应期间"/>
    <x:tableColumn id="6" name="格式要求"/>
    <x:tableColumn id="7" name="责任部门"/>
    <x:tableColumn id="8" name="优先级"/>
    <x:tableColumn id="9" name="计划提供日期"/>
    <x:tableColumn id="10" name="实际提供日期"/>
    <x:tableColumn id="11" name="状态"/>
    <x:tableColumn id="12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ecklist_4" displayName="Checklist_4" ref="A1:L13" headerRowCount="1" totalsRowCount="0" totalsRowShown="0">
  <x:autoFilter ref="A1:L13"/>
  <x:tableColumns count="12">
    <x:tableColumn id="1" name="序号"/>
    <x:tableColumn id="2" name="模块"/>
    <x:tableColumn id="3" name="资料名称"/>
    <x:tableColumn id="4" name="资料说明"/>
    <x:tableColumn id="5" name="对应期间"/>
    <x:tableColumn id="6" name="格式要求"/>
    <x:tableColumn id="7" name="责任部门"/>
    <x:tableColumn id="8" name="优先级"/>
    <x:tableColumn id="9" name="计划提供日期"/>
    <x:tableColumn id="10" name="实际提供日期"/>
    <x:tableColumn id="11" name="状态"/>
    <x:tableColumn id="12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hecklist_5" displayName="Checklist_5" ref="A1:L13" headerRowCount="1" totalsRowCount="0" totalsRowShown="0">
  <x:autoFilter ref="A1:L13"/>
  <x:tableColumns count="12">
    <x:tableColumn id="1" name="序号"/>
    <x:tableColumn id="2" name="模块"/>
    <x:tableColumn id="3" name="资料名称"/>
    <x:tableColumn id="4" name="资料说明"/>
    <x:tableColumn id="5" name="对应期间"/>
    <x:tableColumn id="6" name="格式要求"/>
    <x:tableColumn id="7" name="责任部门"/>
    <x:tableColumn id="8" name="优先级"/>
    <x:tableColumn id="9" name="计划提供日期"/>
    <x:tableColumn id="10" name="实际提供日期"/>
    <x:tableColumn id="11" name="状态"/>
    <x:tableColumn id="12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hecklist_6" displayName="Checklist_6" ref="A1:L10" headerRowCount="1" totalsRowCount="0" totalsRowShown="0">
  <x:autoFilter ref="A1:L10"/>
  <x:tableColumns count="12">
    <x:tableColumn id="1" name="序号"/>
    <x:tableColumn id="2" name="模块"/>
    <x:tableColumn id="3" name="资料名称"/>
    <x:tableColumn id="4" name="资料说明"/>
    <x:tableColumn id="5" name="对应期间"/>
    <x:tableColumn id="6" name="格式要求"/>
    <x:tableColumn id="7" name="责任部门"/>
    <x:tableColumn id="8" name="优先级"/>
    <x:tableColumn id="9" name="计划提供日期"/>
    <x:tableColumn id="10" name="实际提供日期"/>
    <x:tableColumn id="11" name="状态"/>
    <x:tableColumn id="12" name="备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hecklist_7" displayName="Checklist_7" ref="A1:L11" headerRowCount="1" totalsRowCount="0" totalsRowShown="0">
  <x:autoFilter ref="A1:L11"/>
  <x:tableColumns count="12">
    <x:tableColumn id="1" name="序号"/>
    <x:tableColumn id="2" name="模块"/>
    <x:tableColumn id="3" name="资料名称"/>
    <x:tableColumn id="4" name="资料说明"/>
    <x:tableColumn id="5" name="对应期间"/>
    <x:tableColumn id="6" name="格式要求"/>
    <x:tableColumn id="7" name="责任部门"/>
    <x:tableColumn id="8" name="优先级"/>
    <x:tableColumn id="9" name="计划提供日期"/>
    <x:tableColumn id="10" name="实际提供日期"/>
    <x:tableColumn id="11" name="状态"/>
    <x:tableColumn id="12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2c7d2e85a243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29333e86b954d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84b359d6e2648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da9532471c24b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2ae6b242d804c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784153c58af45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18c31d50b324d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99b917bd4054ee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  <x:selection pane="bottomLeft" activeCell="A5" sqref="A5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2" hidden="0" customWidth="1"/>
  </x:cols>
  <x:sheetData>
    <x:row r="1" ht="34" customHeight="1">
      <x:c r="A1" s="3" t="str">
        <x:v>A 公司 2022 年度审计资料清单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模拟审计项目｜状态与日期为可编辑字段｜蓝色表头、条件格式和筛选器用于现场跟进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8" t="str">
        <x:v>模块</x:v>
      </x:c>
      <x:c r="B4" s="18" t="str">
        <x:v>资料总数</x:v>
      </x:c>
      <x:c r="C4" s="18" t="str">
        <x:v>高优先级</x:v>
      </x:c>
      <x:c r="D4" s="18" t="str">
        <x:v>已提供</x:v>
      </x:c>
      <x:c r="E4" s="18" t="str">
        <x:v>待补充</x:v>
      </x:c>
      <x:c r="F4" s="18" t="str">
        <x:v>未提供</x:v>
      </x:c>
      <x:c r="G4" s="18" t="str">
        <x:v>完成率</x:v>
      </x:c>
      <x:c r="H4" s="18" t="str">
        <x:v>负责人提示</x:v>
      </x:c>
    </x:row>
    <x:row r="5">
      <x:c r="A5" s="14" t="str">
        <x:v>通用资料</x:v>
      </x:c>
      <x:c r="B5" s="22" t="n">
        <x:f>COUNTA('通用资料'!$A$2:$A$12)</x:f>
        <x:v>11</x:v>
      </x:c>
      <x:c r="C5" s="22" t="n">
        <x:f>COUNTIF('通用资料'!$H$2:$H$12,"高")</x:f>
        <x:v>10</x:v>
      </x:c>
      <x:c r="D5" s="22" t="n">
        <x:f>COUNTIF('通用资料'!$K$2:$K$12,"已提供")</x:f>
        <x:v>0</x:v>
      </x:c>
      <x:c r="E5" s="22" t="n">
        <x:f>COUNTIF('通用资料'!$K$2:$K$12,"待补充")</x:f>
        <x:v>0</x:v>
      </x:c>
      <x:c r="F5" s="22" t="n">
        <x:f>COUNTIF('通用资料'!$K$2:$K$12,"未提供")</x:f>
        <x:v>11</x:v>
      </x:c>
      <x:c r="G5" s="24" t="n">
        <x:f>IF(B5=0,0,D5/B5)</x:f>
        <x:v>0</x:v>
      </x:c>
      <x:c r="H5" s="14" t="str">
        <x:v>项目经理统筹</x:v>
      </x:c>
    </x:row>
    <x:row r="6">
      <x:c r="A6" s="14" t="str">
        <x:v>收入</x:v>
      </x:c>
      <x:c r="B6" s="22" t="n">
        <x:f>COUNTA('收入'!$A$2:$A$12)</x:f>
        <x:v>11</x:v>
      </x:c>
      <x:c r="C6" s="22" t="n">
        <x:f>COUNTIF('收入'!$H$2:$H$12,"高")</x:f>
        <x:v>10</x:v>
      </x:c>
      <x:c r="D6" s="22" t="n">
        <x:f>COUNTIF('收入'!$K$2:$K$12,"已提供")</x:f>
        <x:v>0</x:v>
      </x:c>
      <x:c r="E6" s="22" t="n">
        <x:f>COUNTIF('收入'!$K$2:$K$12,"待补充")</x:f>
        <x:v>0</x:v>
      </x:c>
      <x:c r="F6" s="22" t="n">
        <x:f>COUNTIF('收入'!$K$2:$K$12,"未提供")</x:f>
        <x:v>11</x:v>
      </x:c>
      <x:c r="G6" s="24" t="n">
        <x:f>IF(B6=0,0,D6/B6)</x:f>
        <x:v>0</x:v>
      </x:c>
      <x:c r="H6" s="14" t="str">
        <x:v>对应模块负责人跟进</x:v>
      </x:c>
    </x:row>
    <x:row r="7">
      <x:c r="A7" s="14" t="str">
        <x:v>应收账款</x:v>
      </x:c>
      <x:c r="B7" s="22" t="n">
        <x:f>COUNTA('应收账款'!$A$2:$A$11)</x:f>
        <x:v>10</x:v>
      </x:c>
      <x:c r="C7" s="22" t="n">
        <x:f>COUNTIF('应收账款'!$H$2:$H$11,"高")</x:f>
        <x:v>9</x:v>
      </x:c>
      <x:c r="D7" s="22" t="n">
        <x:f>COUNTIF('应收账款'!$K$2:$K$11,"已提供")</x:f>
        <x:v>0</x:v>
      </x:c>
      <x:c r="E7" s="22" t="n">
        <x:f>COUNTIF('应收账款'!$K$2:$K$11,"待补充")</x:f>
        <x:v>0</x:v>
      </x:c>
      <x:c r="F7" s="22" t="n">
        <x:f>COUNTIF('应收账款'!$K$2:$K$11,"未提供")</x:f>
        <x:v>10</x:v>
      </x:c>
      <x:c r="G7" s="24" t="n">
        <x:f>IF(B7=0,0,D7/B7)</x:f>
        <x:v>0</x:v>
      </x:c>
      <x:c r="H7" s="14" t="str">
        <x:v>对应模块负责人跟进</x:v>
      </x:c>
    </x:row>
    <x:row r="8">
      <x:c r="A8" s="14" t="str">
        <x:v>存货</x:v>
      </x:c>
      <x:c r="B8" s="22" t="n">
        <x:f>COUNTA('存货'!$A$2:$A$13)</x:f>
        <x:v>12</x:v>
      </x:c>
      <x:c r="C8" s="22" t="n">
        <x:f>COUNTIF('存货'!$H$2:$H$13,"高")</x:f>
        <x:v>11</x:v>
      </x:c>
      <x:c r="D8" s="22" t="n">
        <x:f>COUNTIF('存货'!$K$2:$K$13,"已提供")</x:f>
        <x:v>0</x:v>
      </x:c>
      <x:c r="E8" s="22" t="n">
        <x:f>COUNTIF('存货'!$K$2:$K$13,"待补充")</x:f>
        <x:v>0</x:v>
      </x:c>
      <x:c r="F8" s="22" t="n">
        <x:f>COUNTIF('存货'!$K$2:$K$13,"未提供")</x:f>
        <x:v>12</x:v>
      </x:c>
      <x:c r="G8" s="24" t="n">
        <x:f>IF(B8=0,0,D8/B8)</x:f>
        <x:v>0</x:v>
      </x:c>
      <x:c r="H8" s="14" t="str">
        <x:v>对应模块负责人跟进</x:v>
      </x:c>
    </x:row>
    <x:row r="9">
      <x:c r="A9" s="14" t="str">
        <x:v>采购与成本</x:v>
      </x:c>
      <x:c r="B9" s="22" t="n">
        <x:f>COUNTA('采购与成本'!$A$2:$A$13)</x:f>
        <x:v>12</x:v>
      </x:c>
      <x:c r="C9" s="22" t="n">
        <x:f>COUNTIF('采购与成本'!$H$2:$H$13,"高")</x:f>
        <x:v>11</x:v>
      </x:c>
      <x:c r="D9" s="22" t="n">
        <x:f>COUNTIF('采购与成本'!$K$2:$K$13,"已提供")</x:f>
        <x:v>0</x:v>
      </x:c>
      <x:c r="E9" s="22" t="n">
        <x:f>COUNTIF('采购与成本'!$K$2:$K$13,"待补充")</x:f>
        <x:v>0</x:v>
      </x:c>
      <x:c r="F9" s="22" t="n">
        <x:f>COUNTIF('采购与成本'!$K$2:$K$13,"未提供")</x:f>
        <x:v>12</x:v>
      </x:c>
      <x:c r="G9" s="24" t="n">
        <x:f>IF(B9=0,0,D9/B9)</x:f>
        <x:v>0</x:v>
      </x:c>
      <x:c r="H9" s="14" t="str">
        <x:v>对应模块负责人跟进</x:v>
      </x:c>
    </x:row>
    <x:row r="10">
      <x:c r="A10" s="14" t="str">
        <x:v>资金与借款</x:v>
      </x:c>
      <x:c r="B10" s="22" t="n">
        <x:f>COUNTA('资金与借款'!$A$2:$A$10)</x:f>
        <x:v>9</x:v>
      </x:c>
      <x:c r="C10" s="22" t="n">
        <x:f>COUNTIF('资金与借款'!$H$2:$H$10,"高")</x:f>
        <x:v>9</x:v>
      </x:c>
      <x:c r="D10" s="22" t="n">
        <x:f>COUNTIF('资金与借款'!$K$2:$K$10,"已提供")</x:f>
        <x:v>0</x:v>
      </x:c>
      <x:c r="E10" s="22" t="n">
        <x:f>COUNTIF('资金与借款'!$K$2:$K$10,"待补充")</x:f>
        <x:v>0</x:v>
      </x:c>
      <x:c r="F10" s="22" t="n">
        <x:f>COUNTIF('资金与借款'!$K$2:$K$10,"未提供")</x:f>
        <x:v>9</x:v>
      </x:c>
      <x:c r="G10" s="24" t="n">
        <x:f>IF(B10=0,0,D10/B10)</x:f>
        <x:v>0</x:v>
      </x:c>
      <x:c r="H10" s="14" t="str">
        <x:v>对应模块负责人跟进</x:v>
      </x:c>
    </x:row>
    <x:row r="11">
      <x:c r="A11" s="14" t="str">
        <x:v>其他重点项目</x:v>
      </x:c>
      <x:c r="B11" s="22" t="n">
        <x:f>COUNTA('其他重点项目'!$A$2:$A$11)</x:f>
        <x:v>10</x:v>
      </x:c>
      <x:c r="C11" s="22" t="n">
        <x:f>COUNTIF('其他重点项目'!$H$2:$H$11,"高")</x:f>
        <x:v>7</x:v>
      </x:c>
      <x:c r="D11" s="22" t="n">
        <x:f>COUNTIF('其他重点项目'!$K$2:$K$11,"已提供")</x:f>
        <x:v>0</x:v>
      </x:c>
      <x:c r="E11" s="22" t="n">
        <x:f>COUNTIF('其他重点项目'!$K$2:$K$11,"待补充")</x:f>
        <x:v>0</x:v>
      </x:c>
      <x:c r="F11" s="22" t="n">
        <x:f>COUNTIF('其他重点项目'!$K$2:$K$11,"未提供")</x:f>
        <x:v>10</x:v>
      </x:c>
      <x:c r="G11" s="24" t="n">
        <x:f>IF(B11=0,0,D11/B11)</x:f>
        <x:v>0</x:v>
      </x:c>
      <x:c r="H11" s="14" t="str">
        <x:v>对应模块负责人跟进</x:v>
      </x:c>
    </x:row>
    <x:row r="12">
      <x:c r="A12" s="21" t="str">
        <x:v>合计</x:v>
      </x:c>
      <x:c r="B12" s="23" t="n">
        <x:f>SUM(B5:B11)</x:f>
        <x:v>75</x:v>
      </x:c>
      <x:c r="C12" s="23" t="n">
        <x:f>SUM(C5:C11)</x:f>
        <x:v>67</x:v>
      </x:c>
      <x:c r="D12" s="23" t="n">
        <x:f>SUM(D5:D11)</x:f>
        <x:v>0</x:v>
      </x:c>
      <x:c r="E12" s="23" t="n">
        <x:f>SUM(E5:E11)</x:f>
        <x:v>0</x:v>
      </x:c>
      <x:c r="F12" s="23" t="n">
        <x:f>SUM(F5:F11)</x:f>
        <x:v>75</x:v>
      </x:c>
      <x:c r="G12" s="25" t="n">
        <x:f>IF(B12=0,0,D12/B12)</x:f>
        <x:v>0</x:v>
      </x:c>
      <x:c r="H12" s="21" t="str">
        <x:v>每日更新一次</x:v>
      </x:c>
    </x:row>
  </x:sheetData>
  <x:mergeCells>
    <x:mergeCell ref="A1:H1"/>
    <x:mergeCell ref="A2:H2"/>
  </x:mergeCells>
  <x:conditionalFormatting sqref="G5:G12">
    <x:cfRule type="dataBar" priority="1">
      <x:dataBar>
        <x:cfvo type="min"/>
        <x:cfvo type="max"/>
        <x:color rgb="FF3D8DFF"/>
      </x:dataBar>
      <x:extLst>
        <x:ext xmlns:x14="http://schemas.microsoft.com/office/spreadsheetml/2009/9/main" uri="{B025F937-C7B1-47D3-B67F-A62EFF666E3E}">
          <x14:id>{9BFB47AB-F48E-53DF-E161-4C924D031700}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22c7d2e85a2434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BFB47AB-F48E-53DF-E161-4C924D031700}">
            <x14:dataBar gradient="1">
              <x14:cfvo type="min"/>
              <x14:cfvo type="max"/>
              <x14:fillColor rgb="FF3D8DFF"/>
            </x14:dataBar>
          </x14:cfRule>
          <xm:sqref>G5:G12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8" hidden="0" customWidth="1"/>
    <x:col min="2" max="2" width="15" hidden="0" customWidth="1"/>
    <x:col min="3" max="3" width="28" hidden="0" customWidth="1"/>
    <x:col min="4" max="4" width="42" hidden="0" customWidth="1"/>
    <x:col min="5" max="5" width="16" hidden="0" customWidth="1"/>
    <x:col min="6" max="6" width="16" hidden="0" customWidth="1"/>
    <x:col min="7" max="7" width="18" hidden="0" customWidth="1"/>
    <x:col min="8" max="8" width="10" hidden="0" customWidth="1"/>
    <x:col min="9" max="9" width="15" hidden="0" customWidth="1"/>
    <x:col min="10" max="10" width="15" hidden="0" customWidth="1"/>
    <x:col min="11" max="11" width="12" hidden="0" customWidth="1"/>
    <x:col min="12" max="12" width="26" hidden="0" customWidth="1"/>
  </x:cols>
  <x:sheetData>
    <x:row r="1" ht="30" customHeight="1">
      <x:c r="A1" s="18" t="str">
        <x:v>序号</x:v>
      </x:c>
      <x:c r="B1" s="18" t="str">
        <x:v>模块</x:v>
      </x:c>
      <x:c r="C1" s="18" t="str">
        <x:v>资料名称</x:v>
      </x:c>
      <x:c r="D1" s="18" t="str">
        <x:v>资料说明</x:v>
      </x:c>
      <x:c r="E1" s="18" t="str">
        <x:v>对应期间</x:v>
      </x:c>
      <x:c r="F1" s="18" t="str">
        <x:v>格式要求</x:v>
      </x:c>
      <x:c r="G1" s="18" t="str">
        <x:v>责任部门</x:v>
      </x:c>
      <x:c r="H1" s="18" t="str">
        <x:v>优先级</x:v>
      </x:c>
      <x:c r="I1" s="18" t="str">
        <x:v>计划提供日期</x:v>
      </x:c>
      <x:c r="J1" s="18" t="str">
        <x:v>实际提供日期</x:v>
      </x:c>
      <x:c r="K1" s="18" t="str">
        <x:v>状态</x:v>
      </x:c>
      <x:c r="L1" s="18" t="str">
        <x:v>备注</x:v>
      </x:c>
    </x:row>
    <x:row r="2">
      <x:c r="A2" s="26" t="n">
        <x:v>1</x:v>
      </x:c>
      <x:c r="B2" s="26" t="str">
        <x:v>通用资料</x:v>
      </x:c>
      <x:c r="C2" s="14" t="str">
        <x:v>营业执照、公司章程</x:v>
      </x:c>
      <x:c r="D2" s="14" t="str">
        <x:v>最新版及报告期内变更记录</x:v>
      </x:c>
      <x:c r="E2" s="14" t="str">
        <x:v>2022及期后</x:v>
      </x:c>
      <x:c r="F2" s="14" t="str">
        <x:v>PDF/扫描件</x:v>
      </x:c>
      <x:c r="G2" s="14" t="str">
        <x:v>董事会办公室</x:v>
      </x:c>
      <x:c r="H2" s="26" t="str">
        <x:v>高</x:v>
      </x:c>
      <x:c r="I2" s="27" t="n">
        <x:v>44929</x:v>
      </x:c>
      <x:c r="J2" s="27"/>
      <x:c r="K2" s="26" t="str">
        <x:v>未提供</x:v>
      </x:c>
      <x:c r="L2" s="14" t="str"/>
    </x:row>
    <x:row r="3">
      <x:c r="A3" s="26" t="n">
        <x:v>2</x:v>
      </x:c>
      <x:c r="B3" s="26" t="str">
        <x:v>通用资料</x:v>
      </x:c>
      <x:c r="C3" s="14" t="str">
        <x:v>组织架构及关键人员名单</x:v>
      </x:c>
      <x:c r="D3" s="14" t="str">
        <x:v>部门、岗位、人员及职责</x:v>
      </x:c>
      <x:c r="E3" s="14" t="str">
        <x:v>2022</x:v>
      </x:c>
      <x:c r="F3" s="14" t="str">
        <x:v>Excel/PDF</x:v>
      </x:c>
      <x:c r="G3" s="14" t="str">
        <x:v>人力资源部</x:v>
      </x:c>
      <x:c r="H3" s="26" t="str">
        <x:v>中</x:v>
      </x:c>
      <x:c r="I3" s="27" t="n">
        <x:v>44929</x:v>
      </x:c>
      <x:c r="J3" s="27"/>
      <x:c r="K3" s="26" t="str">
        <x:v>未提供</x:v>
      </x:c>
      <x:c r="L3" s="14" t="str"/>
    </x:row>
    <x:row r="4">
      <x:c r="A4" s="26" t="n">
        <x:v>3</x:v>
      </x:c>
      <x:c r="B4" s="26" t="str">
        <x:v>通用资料</x:v>
      </x:c>
      <x:c r="C4" s="14" t="str">
        <x:v>董事会及股东会会议记录</x:v>
      </x:c>
      <x:c r="D4" s="14" t="str">
        <x:v>报告期及期后重大决议</x:v>
      </x:c>
      <x:c r="E4" s="14" t="str">
        <x:v>2022及期后</x:v>
      </x:c>
      <x:c r="F4" s="14" t="str">
        <x:v>PDF/扫描件</x:v>
      </x:c>
      <x:c r="G4" s="14" t="str">
        <x:v>董事会办公室</x:v>
      </x:c>
      <x:c r="H4" s="26" t="str">
        <x:v>高</x:v>
      </x:c>
      <x:c r="I4" s="27" t="n">
        <x:v>44930</x:v>
      </x:c>
      <x:c r="J4" s="27"/>
      <x:c r="K4" s="26" t="str">
        <x:v>未提供</x:v>
      </x:c>
      <x:c r="L4" s="14" t="str"/>
    </x:row>
    <x:row r="5">
      <x:c r="A5" s="26" t="n">
        <x:v>4</x:v>
      </x:c>
      <x:c r="B5" s="26" t="str">
        <x:v>通用资料</x:v>
      </x:c>
      <x:c r="C5" s="14" t="str">
        <x:v>重要合同清单</x:v>
      </x:c>
      <x:c r="D5" s="14" t="str">
        <x:v>合同相对方、金额、期限、状态</x:v>
      </x:c>
      <x:c r="E5" s="14" t="str">
        <x:v>2022及期后</x:v>
      </x:c>
      <x:c r="F5" s="14" t="str">
        <x:v>Excel</x:v>
      </x:c>
      <x:c r="G5" s="14" t="str">
        <x:v>财务部</x:v>
      </x:c>
      <x:c r="H5" s="26" t="str">
        <x:v>高</x:v>
      </x:c>
      <x:c r="I5" s="27" t="n">
        <x:v>44930</x:v>
      </x:c>
      <x:c r="J5" s="27"/>
      <x:c r="K5" s="26" t="str">
        <x:v>未提供</x:v>
      </x:c>
      <x:c r="L5" s="14" t="str"/>
    </x:row>
    <x:row r="6">
      <x:c r="A6" s="26" t="n">
        <x:v>5</x:v>
      </x:c>
      <x:c r="B6" s="26" t="str">
        <x:v>通用资料</x:v>
      </x:c>
      <x:c r="C6" s="14" t="str">
        <x:v>关联方及关联交易清单</x:v>
      </x:c>
      <x:c r="D6" s="14" t="str">
        <x:v>关系、交易类型、金额及余额</x:v>
      </x:c>
      <x:c r="E6" s="14" t="str">
        <x:v>2022</x:v>
      </x:c>
      <x:c r="F6" s="14" t="str">
        <x:v>Excel</x:v>
      </x:c>
      <x:c r="G6" s="14" t="str">
        <x:v>财务部</x:v>
      </x:c>
      <x:c r="H6" s="26" t="str">
        <x:v>高</x:v>
      </x:c>
      <x:c r="I6" s="27" t="n">
        <x:v>44930</x:v>
      </x:c>
      <x:c r="J6" s="27"/>
      <x:c r="K6" s="26" t="str">
        <x:v>未提供</x:v>
      </x:c>
      <x:c r="L6" s="14" t="str"/>
    </x:row>
    <x:row r="7">
      <x:c r="A7" s="26" t="n">
        <x:v>6</x:v>
      </x:c>
      <x:c r="B7" s="26" t="str">
        <x:v>通用资料</x:v>
      </x:c>
      <x:c r="C7" s="14" t="str">
        <x:v>会计政策及会计科目表</x:v>
      </x:c>
      <x:c r="D7" s="14" t="str">
        <x:v>含报告期变更说明</x:v>
      </x:c>
      <x:c r="E7" s="14" t="str">
        <x:v>2022</x:v>
      </x:c>
      <x:c r="F7" s="14" t="str">
        <x:v>Excel/PDF</x:v>
      </x:c>
      <x:c r="G7" s="14" t="str">
        <x:v>财务部</x:v>
      </x:c>
      <x:c r="H7" s="26" t="str">
        <x:v>高</x:v>
      </x:c>
      <x:c r="I7" s="27" t="n">
        <x:v>44929</x:v>
      </x:c>
      <x:c r="J7" s="27"/>
      <x:c r="K7" s="26" t="str">
        <x:v>未提供</x:v>
      </x:c>
      <x:c r="L7" s="14" t="str"/>
    </x:row>
    <x:row r="8">
      <x:c r="A8" s="26" t="n">
        <x:v>7</x:v>
      </x:c>
      <x:c r="B8" s="26" t="str">
        <x:v>通用资料</x:v>
      </x:c>
      <x:c r="C8" s="14" t="str">
        <x:v>总账、明细账、科目余额表</x:v>
      </x:c>
      <x:c r="D8" s="14" t="str">
        <x:v>全年含期初、发生额和期末余额</x:v>
      </x:c>
      <x:c r="E8" s="14" t="str">
        <x:v>2022</x:v>
      </x:c>
      <x:c r="F8" s="14" t="str">
        <x:v>Excel</x:v>
      </x:c>
      <x:c r="G8" s="14" t="str">
        <x:v>财务部</x:v>
      </x:c>
      <x:c r="H8" s="26" t="str">
        <x:v>高</x:v>
      </x:c>
      <x:c r="I8" s="27" t="n">
        <x:v>44929</x:v>
      </x:c>
      <x:c r="J8" s="27"/>
      <x:c r="K8" s="26" t="str">
        <x:v>未提供</x:v>
      </x:c>
      <x:c r="L8" s="14" t="str"/>
    </x:row>
    <x:row r="9">
      <x:c r="A9" s="26" t="n">
        <x:v>8</x:v>
      </x:c>
      <x:c r="B9" s="26" t="str">
        <x:v>通用资料</x:v>
      </x:c>
      <x:c r="C9" s="14" t="str">
        <x:v>试算平衡表及财务报表</x:v>
      </x:c>
      <x:c r="D9" s="14" t="str">
        <x:v>报表、附注及勾稽表</x:v>
      </x:c>
      <x:c r="E9" s="14" t="str">
        <x:v>2022</x:v>
      </x:c>
      <x:c r="F9" s="14" t="str">
        <x:v>Excel</x:v>
      </x:c>
      <x:c r="G9" s="14" t="str">
        <x:v>财务部</x:v>
      </x:c>
      <x:c r="H9" s="26" t="str">
        <x:v>高</x:v>
      </x:c>
      <x:c r="I9" s="27" t="n">
        <x:v>44929</x:v>
      </x:c>
      <x:c r="J9" s="27"/>
      <x:c r="K9" s="26" t="str">
        <x:v>未提供</x:v>
      </x:c>
      <x:c r="L9" s="14" t="str"/>
    </x:row>
    <x:row r="10">
      <x:c r="A10" s="26" t="n">
        <x:v>9</x:v>
      </x:c>
      <x:c r="B10" s="26" t="str">
        <x:v>通用资料</x:v>
      </x:c>
      <x:c r="C10" s="14" t="str">
        <x:v>银行账户清单</x:v>
      </x:c>
      <x:c r="D10" s="14" t="str">
        <x:v>开户行、账号、用途、状态</x:v>
      </x:c>
      <x:c r="E10" s="14" t="str">
        <x:v>2022/12/31</x:v>
      </x:c>
      <x:c r="F10" s="14" t="str">
        <x:v>Excel</x:v>
      </x:c>
      <x:c r="G10" s="14" t="str">
        <x:v>财务部</x:v>
      </x:c>
      <x:c r="H10" s="26" t="str">
        <x:v>高</x:v>
      </x:c>
      <x:c r="I10" s="27" t="n">
        <x:v>44930</x:v>
      </x:c>
      <x:c r="J10" s="27"/>
      <x:c r="K10" s="26" t="str">
        <x:v>未提供</x:v>
      </x:c>
      <x:c r="L10" s="14" t="str"/>
    </x:row>
    <x:row r="11">
      <x:c r="A11" s="26" t="n">
        <x:v>10</x:v>
      </x:c>
      <x:c r="B11" s="26" t="str">
        <x:v>通用资料</x:v>
      </x:c>
      <x:c r="C11" s="14" t="str">
        <x:v>诉讼、担保、抵押清单</x:v>
      </x:c>
      <x:c r="D11" s="14" t="str">
        <x:v>事项、金额、进展、律师信息</x:v>
      </x:c>
      <x:c r="E11" s="14" t="str">
        <x:v>2022及期后</x:v>
      </x:c>
      <x:c r="F11" s="14" t="str">
        <x:v>Excel/PDF</x:v>
      </x:c>
      <x:c r="G11" s="14" t="str">
        <x:v>法务/财务</x:v>
      </x:c>
      <x:c r="H11" s="26" t="str">
        <x:v>高</x:v>
      </x:c>
      <x:c r="I11" s="27" t="n">
        <x:v>44931</x:v>
      </x:c>
      <x:c r="J11" s="27"/>
      <x:c r="K11" s="26" t="str">
        <x:v>未提供</x:v>
      </x:c>
      <x:c r="L11" s="14" t="str"/>
    </x:row>
    <x:row r="12">
      <x:c r="A12" s="26" t="n">
        <x:v>11</x:v>
      </x:c>
      <x:c r="B12" s="26" t="str">
        <x:v>通用资料</x:v>
      </x:c>
      <x:c r="C12" s="14" t="str">
        <x:v>期后事项清单</x:v>
      </x:c>
      <x:c r="D12" s="14" t="str">
        <x:v>资产负债表日至资料提供日重大事项</x:v>
      </x:c>
      <x:c r="E12" s="14" t="str">
        <x:v>期后</x:v>
      </x:c>
      <x:c r="F12" s="14" t="str">
        <x:v>Excel/PDF</x:v>
      </x:c>
      <x:c r="G12" s="14" t="str">
        <x:v>财务部</x:v>
      </x:c>
      <x:c r="H12" s="26" t="str">
        <x:v>高</x:v>
      </x:c>
      <x:c r="I12" s="27" t="n">
        <x:v>44946</x:v>
      </x:c>
      <x:c r="J12" s="27"/>
      <x:c r="K12" s="26" t="str">
        <x:v>未提供</x:v>
      </x:c>
      <x:c r="L12" s="14" t="str"/>
    </x:row>
  </x:sheetData>
  <x:conditionalFormatting sqref="K2:K12">
    <x:cfRule type="containsText" dxfId="0" priority="1" operator="containsText" text="已提供"/>
    <x:cfRule type="containsText" dxfId="1" priority="2" operator="containsText" text="待补充"/>
  </x:conditionalFormatting>
  <x:conditionalFormatting sqref="A2:L12">
    <x:cfRule type="expression" dxfId="2" priority="3">
      <x:formula>AND($K2&lt;&gt;"已提供",$I2&lt;TODAY())</x:formula>
    </x:cfRule>
  </x:conditionalFormatting>
  <x:dataValidations count="2">
    <x:dataValidation type="list" sqref="H2:H12">
      <x:formula1>"高,中,低"</x:formula1>
    </x:dataValidation>
    <x:dataValidation type="list" sqref="K2:K12">
      <x:formula1>"未提供,已提供,待补充"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9333e86b954db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8" hidden="0" customWidth="1"/>
    <x:col min="2" max="2" width="15" hidden="0" customWidth="1"/>
    <x:col min="3" max="3" width="28" hidden="0" customWidth="1"/>
    <x:col min="4" max="4" width="42" hidden="0" customWidth="1"/>
    <x:col min="5" max="5" width="16" hidden="0" customWidth="1"/>
    <x:col min="6" max="6" width="16" hidden="0" customWidth="1"/>
    <x:col min="7" max="7" width="18" hidden="0" customWidth="1"/>
    <x:col min="8" max="8" width="10" hidden="0" customWidth="1"/>
    <x:col min="9" max="9" width="15" hidden="0" customWidth="1"/>
    <x:col min="10" max="10" width="15" hidden="0" customWidth="1"/>
    <x:col min="11" max="11" width="12" hidden="0" customWidth="1"/>
    <x:col min="12" max="12" width="26" hidden="0" customWidth="1"/>
  </x:cols>
  <x:sheetData>
    <x:row r="1" ht="30" customHeight="1">
      <x:c r="A1" s="18" t="str">
        <x:v>序号</x:v>
      </x:c>
      <x:c r="B1" s="18" t="str">
        <x:v>模块</x:v>
      </x:c>
      <x:c r="C1" s="18" t="str">
        <x:v>资料名称</x:v>
      </x:c>
      <x:c r="D1" s="18" t="str">
        <x:v>资料说明</x:v>
      </x:c>
      <x:c r="E1" s="18" t="str">
        <x:v>对应期间</x:v>
      </x:c>
      <x:c r="F1" s="18" t="str">
        <x:v>格式要求</x:v>
      </x:c>
      <x:c r="G1" s="18" t="str">
        <x:v>责任部门</x:v>
      </x:c>
      <x:c r="H1" s="18" t="str">
        <x:v>优先级</x:v>
      </x:c>
      <x:c r="I1" s="18" t="str">
        <x:v>计划提供日期</x:v>
      </x:c>
      <x:c r="J1" s="18" t="str">
        <x:v>实际提供日期</x:v>
      </x:c>
      <x:c r="K1" s="18" t="str">
        <x:v>状态</x:v>
      </x:c>
      <x:c r="L1" s="18" t="str">
        <x:v>备注</x:v>
      </x:c>
    </x:row>
    <x:row r="2">
      <x:c r="A2" s="26" t="n">
        <x:v>1</x:v>
      </x:c>
      <x:c r="B2" s="26" t="str">
        <x:v>收入</x:v>
      </x:c>
      <x:c r="C2" s="14" t="str">
        <x:v>销售收入明细</x:v>
      </x:c>
      <x:c r="D2" s="14" t="str">
        <x:v>客户、产品、日期、数量、单价、金额、凭证号</x:v>
      </x:c>
      <x:c r="E2" s="14" t="str">
        <x:v>2022</x:v>
      </x:c>
      <x:c r="F2" s="14" t="str">
        <x:v>Excel</x:v>
      </x:c>
      <x:c r="G2" s="14" t="str">
        <x:v>销售部/财务部</x:v>
      </x:c>
      <x:c r="H2" s="26" t="str">
        <x:v>高</x:v>
      </x:c>
      <x:c r="I2" s="27" t="n">
        <x:v>44929</x:v>
      </x:c>
      <x:c r="J2" s="27"/>
      <x:c r="K2" s="26" t="str">
        <x:v>未提供</x:v>
      </x:c>
      <x:c r="L2" s="14" t="str"/>
    </x:row>
    <x:row r="3">
      <x:c r="A3" s="26" t="n">
        <x:v>2</x:v>
      </x:c>
      <x:c r="B3" s="26" t="str">
        <x:v>收入</x:v>
      </x:c>
      <x:c r="C3" s="14" t="str">
        <x:v>客户主数据及信用政策</x:v>
      </x:c>
      <x:c r="D3" s="14" t="str">
        <x:v>客户编码、名称、地区、账期、额度</x:v>
      </x:c>
      <x:c r="E3" s="14" t="str">
        <x:v>2022</x:v>
      </x:c>
      <x:c r="F3" s="14" t="str">
        <x:v>Excel</x:v>
      </x:c>
      <x:c r="G3" s="14" t="str">
        <x:v>销售部</x:v>
      </x:c>
      <x:c r="H3" s="26" t="str">
        <x:v>高</x:v>
      </x:c>
      <x:c r="I3" s="27" t="n">
        <x:v>44930</x:v>
      </x:c>
      <x:c r="J3" s="27"/>
      <x:c r="K3" s="26" t="str">
        <x:v>未提供</x:v>
      </x:c>
      <x:c r="L3" s="14" t="str"/>
    </x:row>
    <x:row r="4">
      <x:c r="A4" s="26" t="n">
        <x:v>3</x:v>
      </x:c>
      <x:c r="B4" s="26" t="str">
        <x:v>收入</x:v>
      </x:c>
      <x:c r="C4" s="14" t="str">
        <x:v>销售合同与订单</x:v>
      </x:c>
      <x:c r="D4" s="14" t="str">
        <x:v>主要及异常交易完整合同订单</x:v>
      </x:c>
      <x:c r="E4" s="14" t="str">
        <x:v>2022</x:v>
      </x:c>
      <x:c r="F4" s="14" t="str">
        <x:v>PDF/扫描件</x:v>
      </x:c>
      <x:c r="G4" s="14" t="str">
        <x:v>销售部</x:v>
      </x:c>
      <x:c r="H4" s="26" t="str">
        <x:v>高</x:v>
      </x:c>
      <x:c r="I4" s="27" t="n">
        <x:v>44932</x:v>
      </x:c>
      <x:c r="J4" s="27"/>
      <x:c r="K4" s="26" t="str">
        <x:v>未提供</x:v>
      </x:c>
      <x:c r="L4" s="14" t="str"/>
    </x:row>
    <x:row r="5">
      <x:c r="A5" s="26" t="n">
        <x:v>4</x:v>
      </x:c>
      <x:c r="B5" s="26" t="str">
        <x:v>收入</x:v>
      </x:c>
      <x:c r="C5" s="14" t="str">
        <x:v>销售发票清单</x:v>
      </x:c>
      <x:c r="D5" s="14" t="str">
        <x:v>发票号、日期、客户、金额及红冲</x:v>
      </x:c>
      <x:c r="E5" s="14" t="str">
        <x:v>2022</x:v>
      </x:c>
      <x:c r="F5" s="14" t="str">
        <x:v>Excel/PDF</x:v>
      </x:c>
      <x:c r="G5" s="14" t="str">
        <x:v>财务部</x:v>
      </x:c>
      <x:c r="H5" s="26" t="str">
        <x:v>高</x:v>
      </x:c>
      <x:c r="I5" s="27" t="n">
        <x:v>44931</x:v>
      </x:c>
      <x:c r="J5" s="27"/>
      <x:c r="K5" s="26" t="str">
        <x:v>未提供</x:v>
      </x:c>
      <x:c r="L5" s="14" t="str"/>
    </x:row>
    <x:row r="6">
      <x:c r="A6" s="26" t="n">
        <x:v>5</x:v>
      </x:c>
      <x:c r="B6" s="26" t="str">
        <x:v>收入</x:v>
      </x:c>
      <x:c r="C6" s="14" t="str">
        <x:v>出库、物流、签收及验收资料</x:v>
      </x:c>
      <x:c r="D6" s="14" t="str">
        <x:v>与销售明细可通过单号匹配</x:v>
      </x:c>
      <x:c r="E6" s="14" t="str">
        <x:v>2022</x:v>
      </x:c>
      <x:c r="F6" s="14" t="str">
        <x:v>Excel/PDF</x:v>
      </x:c>
      <x:c r="G6" s="14" t="str">
        <x:v>仓库/销售部</x:v>
      </x:c>
      <x:c r="H6" s="26" t="str">
        <x:v>高</x:v>
      </x:c>
      <x:c r="I6" s="27" t="n">
        <x:v>44932</x:v>
      </x:c>
      <x:c r="J6" s="27"/>
      <x:c r="K6" s="26" t="str">
        <x:v>未提供</x:v>
      </x:c>
      <x:c r="L6" s="14" t="str"/>
    </x:row>
    <x:row r="7">
      <x:c r="A7" s="26" t="n">
        <x:v>6</x:v>
      </x:c>
      <x:c r="B7" s="26" t="str">
        <x:v>收入</x:v>
      </x:c>
      <x:c r="C7" s="14" t="str">
        <x:v>外销报关单、提单、装箱单</x:v>
      </x:c>
      <x:c r="D7" s="14" t="str">
        <x:v>含贸易条款、报关及提单日期</x:v>
      </x:c>
      <x:c r="E7" s="14" t="str">
        <x:v>2022</x:v>
      </x:c>
      <x:c r="F7" s="14" t="str">
        <x:v>Excel/PDF</x:v>
      </x:c>
      <x:c r="G7" s="14" t="str">
        <x:v>销售部</x:v>
      </x:c>
      <x:c r="H7" s="26" t="str">
        <x:v>高</x:v>
      </x:c>
      <x:c r="I7" s="27" t="n">
        <x:v>44932</x:v>
      </x:c>
      <x:c r="J7" s="27"/>
      <x:c r="K7" s="26" t="str">
        <x:v>未提供</x:v>
      </x:c>
      <x:c r="L7" s="14" t="str"/>
    </x:row>
    <x:row r="8">
      <x:c r="A8" s="26" t="n">
        <x:v>7</x:v>
      </x:c>
      <x:c r="B8" s="26" t="str">
        <x:v>收入</x:v>
      </x:c>
      <x:c r="C8" s="14" t="str">
        <x:v>退货、折让及红字发票清单</x:v>
      </x:c>
      <x:c r="D8" s="14" t="str">
        <x:v>原因、批准、金额、对应原销售</x:v>
      </x:c>
      <x:c r="E8" s="14" t="str">
        <x:v>2022及期后</x:v>
      </x:c>
      <x:c r="F8" s="14" t="str">
        <x:v>Excel</x:v>
      </x:c>
      <x:c r="G8" s="14" t="str">
        <x:v>销售部/财务部</x:v>
      </x:c>
      <x:c r="H8" s="26" t="str">
        <x:v>高</x:v>
      </x:c>
      <x:c r="I8" s="27" t="n">
        <x:v>44932</x:v>
      </x:c>
      <x:c r="J8" s="27"/>
      <x:c r="K8" s="26" t="str">
        <x:v>未提供</x:v>
      </x:c>
      <x:c r="L8" s="14" t="str"/>
    </x:row>
    <x:row r="9">
      <x:c r="A9" s="26" t="n">
        <x:v>8</x:v>
      </x:c>
      <x:c r="B9" s="26" t="str">
        <x:v>收入</x:v>
      </x:c>
      <x:c r="C9" s="14" t="str">
        <x:v>年末前后销售清单</x:v>
      </x:c>
      <x:c r="D9" s="14" t="str">
        <x:v>2022-12-15至2023-01-15全量交易</x:v>
      </x:c>
      <x:c r="E9" s="14" t="str">
        <x:v>年末前后</x:v>
      </x:c>
      <x:c r="F9" s="14" t="str">
        <x:v>Excel</x:v>
      </x:c>
      <x:c r="G9" s="14" t="str">
        <x:v>财务部</x:v>
      </x:c>
      <x:c r="H9" s="26" t="str">
        <x:v>高</x:v>
      </x:c>
      <x:c r="I9" s="27" t="n">
        <x:v>44931</x:v>
      </x:c>
      <x:c r="J9" s="27"/>
      <x:c r="K9" s="26" t="str">
        <x:v>未提供</x:v>
      </x:c>
      <x:c r="L9" s="14" t="str"/>
    </x:row>
    <x:row r="10">
      <x:c r="A10" s="26" t="n">
        <x:v>9</x:v>
      </x:c>
      <x:c r="B10" s="26" t="str">
        <x:v>收入</x:v>
      </x:c>
      <x:c r="C10" s="14" t="str">
        <x:v>期后回款清单</x:v>
      </x:c>
      <x:c r="D10" s="14" t="str">
        <x:v>客户、回款日、金额、对应发票</x:v>
      </x:c>
      <x:c r="E10" s="14" t="str">
        <x:v>2023-01至资料日</x:v>
      </x:c>
      <x:c r="F10" s="14" t="str">
        <x:v>Excel</x:v>
      </x:c>
      <x:c r="G10" s="14" t="str">
        <x:v>财务部</x:v>
      </x:c>
      <x:c r="H10" s="26" t="str">
        <x:v>高</x:v>
      </x:c>
      <x:c r="I10" s="27" t="n">
        <x:v>44939</x:v>
      </x:c>
      <x:c r="J10" s="27"/>
      <x:c r="K10" s="26" t="str">
        <x:v>未提供</x:v>
      </x:c>
      <x:c r="L10" s="14" t="str"/>
    </x:row>
    <x:row r="11">
      <x:c r="A11" s="26" t="n">
        <x:v>10</x:v>
      </x:c>
      <x:c r="B11" s="26" t="str">
        <x:v>收入</x:v>
      </x:c>
      <x:c r="C11" s="14" t="str">
        <x:v>销售价格表</x:v>
      </x:c>
      <x:c r="D11" s="14" t="str">
        <x:v>标准价格、折扣政策及审批权限</x:v>
      </x:c>
      <x:c r="E11" s="14" t="str">
        <x:v>2022</x:v>
      </x:c>
      <x:c r="F11" s="14" t="str">
        <x:v>Excel/PDF</x:v>
      </x:c>
      <x:c r="G11" s="14" t="str">
        <x:v>销售部</x:v>
      </x:c>
      <x:c r="H11" s="26" t="str">
        <x:v>中</x:v>
      </x:c>
      <x:c r="I11" s="27" t="n">
        <x:v>44932</x:v>
      </x:c>
      <x:c r="J11" s="27"/>
      <x:c r="K11" s="26" t="str">
        <x:v>未提供</x:v>
      </x:c>
      <x:c r="L11" s="14" t="str"/>
    </x:row>
    <x:row r="12">
      <x:c r="A12" s="26" t="n">
        <x:v>11</x:v>
      </x:c>
      <x:c r="B12" s="26" t="str">
        <x:v>收入</x:v>
      </x:c>
      <x:c r="C12" s="14" t="str">
        <x:v>前十大客户分析</x:v>
      </x:c>
      <x:c r="D12" s="14" t="str">
        <x:v>销售额、余额、回款及毛利</x:v>
      </x:c>
      <x:c r="E12" s="14" t="str">
        <x:v>2022</x:v>
      </x:c>
      <x:c r="F12" s="14" t="str">
        <x:v>Excel</x:v>
      </x:c>
      <x:c r="G12" s="14" t="str">
        <x:v>销售部/财务部</x:v>
      </x:c>
      <x:c r="H12" s="26" t="str">
        <x:v>高</x:v>
      </x:c>
      <x:c r="I12" s="27" t="n">
        <x:v>44931</x:v>
      </x:c>
      <x:c r="J12" s="27"/>
      <x:c r="K12" s="26" t="str">
        <x:v>未提供</x:v>
      </x:c>
      <x:c r="L12" s="14" t="str"/>
    </x:row>
  </x:sheetData>
  <x:conditionalFormatting sqref="K2:K12">
    <x:cfRule type="containsText" dxfId="3" priority="1" operator="containsText" text="已提供"/>
    <x:cfRule type="containsText" dxfId="4" priority="2" operator="containsText" text="待补充"/>
  </x:conditionalFormatting>
  <x:conditionalFormatting sqref="A2:L12">
    <x:cfRule type="expression" dxfId="5" priority="3">
      <x:formula>AND($K2&lt;&gt;"已提供",$I2&lt;TODAY())</x:formula>
    </x:cfRule>
  </x:conditionalFormatting>
  <x:dataValidations count="2">
    <x:dataValidation type="list" sqref="H2:H12">
      <x:formula1>"高,中,低"</x:formula1>
    </x:dataValidation>
    <x:dataValidation type="list" sqref="K2:K12">
      <x:formula1>"未提供,已提供,待补充"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4b359d6e26482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8" hidden="0" customWidth="1"/>
    <x:col min="2" max="2" width="15" hidden="0" customWidth="1"/>
    <x:col min="3" max="3" width="28" hidden="0" customWidth="1"/>
    <x:col min="4" max="4" width="42" hidden="0" customWidth="1"/>
    <x:col min="5" max="5" width="16" hidden="0" customWidth="1"/>
    <x:col min="6" max="6" width="16" hidden="0" customWidth="1"/>
    <x:col min="7" max="7" width="18" hidden="0" customWidth="1"/>
    <x:col min="8" max="8" width="10" hidden="0" customWidth="1"/>
    <x:col min="9" max="9" width="15" hidden="0" customWidth="1"/>
    <x:col min="10" max="10" width="15" hidden="0" customWidth="1"/>
    <x:col min="11" max="11" width="12" hidden="0" customWidth="1"/>
    <x:col min="12" max="12" width="26" hidden="0" customWidth="1"/>
  </x:cols>
  <x:sheetData>
    <x:row r="1" ht="30" customHeight="1">
      <x:c r="A1" s="18" t="str">
        <x:v>序号</x:v>
      </x:c>
      <x:c r="B1" s="18" t="str">
        <x:v>模块</x:v>
      </x:c>
      <x:c r="C1" s="18" t="str">
        <x:v>资料名称</x:v>
      </x:c>
      <x:c r="D1" s="18" t="str">
        <x:v>资料说明</x:v>
      </x:c>
      <x:c r="E1" s="18" t="str">
        <x:v>对应期间</x:v>
      </x:c>
      <x:c r="F1" s="18" t="str">
        <x:v>格式要求</x:v>
      </x:c>
      <x:c r="G1" s="18" t="str">
        <x:v>责任部门</x:v>
      </x:c>
      <x:c r="H1" s="18" t="str">
        <x:v>优先级</x:v>
      </x:c>
      <x:c r="I1" s="18" t="str">
        <x:v>计划提供日期</x:v>
      </x:c>
      <x:c r="J1" s="18" t="str">
        <x:v>实际提供日期</x:v>
      </x:c>
      <x:c r="K1" s="18" t="str">
        <x:v>状态</x:v>
      </x:c>
      <x:c r="L1" s="18" t="str">
        <x:v>备注</x:v>
      </x:c>
    </x:row>
    <x:row r="2">
      <x:c r="A2" s="26" t="n">
        <x:v>1</x:v>
      </x:c>
      <x:c r="B2" s="26" t="str">
        <x:v>应收账款</x:v>
      </x:c>
      <x:c r="C2" s="14" t="str">
        <x:v>应收账款明细</x:v>
      </x:c>
      <x:c r="D2" s="14" t="str">
        <x:v>客户、发票、余额、到期日及币种</x:v>
      </x:c>
      <x:c r="E2" s="14" t="str">
        <x:v>2022/12/31</x:v>
      </x:c>
      <x:c r="F2" s="14" t="str">
        <x:v>Excel</x:v>
      </x:c>
      <x:c r="G2" s="14" t="str">
        <x:v>财务部</x:v>
      </x:c>
      <x:c r="H2" s="26" t="str">
        <x:v>高</x:v>
      </x:c>
      <x:c r="I2" s="27" t="n">
        <x:v>44929</x:v>
      </x:c>
      <x:c r="J2" s="27"/>
      <x:c r="K2" s="26" t="str">
        <x:v>未提供</x:v>
      </x:c>
      <x:c r="L2" s="14" t="str"/>
    </x:row>
    <x:row r="3">
      <x:c r="A3" s="26" t="n">
        <x:v>2</x:v>
      </x:c>
      <x:c r="B3" s="26" t="str">
        <x:v>应收账款</x:v>
      </x:c>
      <x:c r="C3" s="14" t="str">
        <x:v>应收账款账龄表</x:v>
      </x:c>
      <x:c r="D3" s="14" t="str">
        <x:v>按发票日和到期日两种口径</x:v>
      </x:c>
      <x:c r="E3" s="14" t="str">
        <x:v>2022/12/31</x:v>
      </x:c>
      <x:c r="F3" s="14" t="str">
        <x:v>Excel</x:v>
      </x:c>
      <x:c r="G3" s="14" t="str">
        <x:v>财务部</x:v>
      </x:c>
      <x:c r="H3" s="26" t="str">
        <x:v>高</x:v>
      </x:c>
      <x:c r="I3" s="27" t="n">
        <x:v>44930</x:v>
      </x:c>
      <x:c r="J3" s="27"/>
      <x:c r="K3" s="26" t="str">
        <x:v>未提供</x:v>
      </x:c>
      <x:c r="L3" s="14" t="str"/>
    </x:row>
    <x:row r="4">
      <x:c r="A4" s="26" t="n">
        <x:v>3</x:v>
      </x:c>
      <x:c r="B4" s="26" t="str">
        <x:v>应收账款</x:v>
      </x:c>
      <x:c r="C4" s="14" t="str">
        <x:v>坏账准备计算表</x:v>
      </x:c>
      <x:c r="D4" s="14" t="str">
        <x:v>参数、迁徙率/损失率、前瞻调整</x:v>
      </x:c>
      <x:c r="E4" s="14" t="str">
        <x:v>2022/12/31</x:v>
      </x:c>
      <x:c r="F4" s="14" t="str">
        <x:v>Excel</x:v>
      </x:c>
      <x:c r="G4" s="14" t="str">
        <x:v>财务部</x:v>
      </x:c>
      <x:c r="H4" s="26" t="str">
        <x:v>高</x:v>
      </x:c>
      <x:c r="I4" s="27" t="n">
        <x:v>44931</x:v>
      </x:c>
      <x:c r="J4" s="27"/>
      <x:c r="K4" s="26" t="str">
        <x:v>未提供</x:v>
      </x:c>
      <x:c r="L4" s="14" t="str"/>
    </x:row>
    <x:row r="5">
      <x:c r="A5" s="26" t="n">
        <x:v>4</x:v>
      </x:c>
      <x:c r="B5" s="26" t="str">
        <x:v>应收账款</x:v>
      </x:c>
      <x:c r="C5" s="14" t="str">
        <x:v>客户信用等级</x:v>
      </x:c>
      <x:c r="D5" s="14" t="str">
        <x:v>信用政策、评级、额度及变更</x:v>
      </x:c>
      <x:c r="E5" s="14" t="str">
        <x:v>2022</x:v>
      </x:c>
      <x:c r="F5" s="14" t="str">
        <x:v>Excel/PDF</x:v>
      </x:c>
      <x:c r="G5" s="14" t="str">
        <x:v>销售部</x:v>
      </x:c>
      <x:c r="H5" s="26" t="str">
        <x:v>中</x:v>
      </x:c>
      <x:c r="I5" s="27" t="n">
        <x:v>44932</x:v>
      </x:c>
      <x:c r="J5" s="27"/>
      <x:c r="K5" s="26" t="str">
        <x:v>未提供</x:v>
      </x:c>
      <x:c r="L5" s="14" t="str"/>
    </x:row>
    <x:row r="6">
      <x:c r="A6" s="26" t="n">
        <x:v>5</x:v>
      </x:c>
      <x:c r="B6" s="26" t="str">
        <x:v>应收账款</x:v>
      </x:c>
      <x:c r="C6" s="14" t="str">
        <x:v>逾期款项清单</x:v>
      </x:c>
      <x:c r="D6" s="14" t="str">
        <x:v>逾期天数、催收、原因及预计回款</x:v>
      </x:c>
      <x:c r="E6" s="14" t="str">
        <x:v>2022/12/31</x:v>
      </x:c>
      <x:c r="F6" s="14" t="str">
        <x:v>Excel</x:v>
      </x:c>
      <x:c r="G6" s="14" t="str">
        <x:v>销售部/财务部</x:v>
      </x:c>
      <x:c r="H6" s="26" t="str">
        <x:v>高</x:v>
      </x:c>
      <x:c r="I6" s="27" t="n">
        <x:v>44931</x:v>
      </x:c>
      <x:c r="J6" s="27"/>
      <x:c r="K6" s="26" t="str">
        <x:v>未提供</x:v>
      </x:c>
      <x:c r="L6" s="14" t="str"/>
    </x:row>
    <x:row r="7">
      <x:c r="A7" s="26" t="n">
        <x:v>6</x:v>
      </x:c>
      <x:c r="B7" s="26" t="str">
        <x:v>应收账款</x:v>
      </x:c>
      <x:c r="C7" s="14" t="str">
        <x:v>期后回款</x:v>
      </x:c>
      <x:c r="D7" s="14" t="str">
        <x:v>银行流水及与应收余额匹配</x:v>
      </x:c>
      <x:c r="E7" s="14" t="str">
        <x:v>2023-01至资料日</x:v>
      </x:c>
      <x:c r="F7" s="14" t="str">
        <x:v>Excel/PDF</x:v>
      </x:c>
      <x:c r="G7" s="14" t="str">
        <x:v>财务部</x:v>
      </x:c>
      <x:c r="H7" s="26" t="str">
        <x:v>高</x:v>
      </x:c>
      <x:c r="I7" s="27" t="n">
        <x:v>44939</x:v>
      </x:c>
      <x:c r="J7" s="27"/>
      <x:c r="K7" s="26" t="str">
        <x:v>未提供</x:v>
      </x:c>
      <x:c r="L7" s="14" t="str"/>
    </x:row>
    <x:row r="8">
      <x:c r="A8" s="26" t="n">
        <x:v>7</x:v>
      </x:c>
      <x:c r="B8" s="26" t="str">
        <x:v>应收账款</x:v>
      </x:c>
      <x:c r="C8" s="14" t="str">
        <x:v>诉讼及争议款项</x:v>
      </x:c>
      <x:c r="D8" s="14" t="str">
        <x:v>争议原因、律师意见和进展</x:v>
      </x:c>
      <x:c r="E8" s="14" t="str">
        <x:v>2022及期后</x:v>
      </x:c>
      <x:c r="F8" s="14" t="str">
        <x:v>PDF</x:v>
      </x:c>
      <x:c r="G8" s="14" t="str">
        <x:v>法务/销售部</x:v>
      </x:c>
      <x:c r="H8" s="26" t="str">
        <x:v>高</x:v>
      </x:c>
      <x:c r="I8" s="27" t="n">
        <x:v>44932</x:v>
      </x:c>
      <x:c r="J8" s="27"/>
      <x:c r="K8" s="26" t="str">
        <x:v>未提供</x:v>
      </x:c>
      <x:c r="L8" s="14" t="str"/>
    </x:row>
    <x:row r="9">
      <x:c r="A9" s="26" t="n">
        <x:v>8</x:v>
      </x:c>
      <x:c r="B9" s="26" t="str">
        <x:v>应收账款</x:v>
      </x:c>
      <x:c r="C9" s="14" t="str">
        <x:v>客户对账单</x:v>
      </x:c>
      <x:c r="D9" s="14" t="str">
        <x:v>主要客户及异常余额对账记录</x:v>
      </x:c>
      <x:c r="E9" s="14" t="str">
        <x:v>2022/12/31</x:v>
      </x:c>
      <x:c r="F9" s="14" t="str">
        <x:v>PDF</x:v>
      </x:c>
      <x:c r="G9" s="14" t="str">
        <x:v>销售部</x:v>
      </x:c>
      <x:c r="H9" s="26" t="str">
        <x:v>高</x:v>
      </x:c>
      <x:c r="I9" s="27" t="n">
        <x:v>44931</x:v>
      </x:c>
      <x:c r="J9" s="27"/>
      <x:c r="K9" s="26" t="str">
        <x:v>未提供</x:v>
      </x:c>
      <x:c r="L9" s="14" t="str"/>
    </x:row>
    <x:row r="10">
      <x:c r="A10" s="26" t="n">
        <x:v>9</x:v>
      </x:c>
      <x:c r="B10" s="26" t="str">
        <x:v>应收账款</x:v>
      </x:c>
      <x:c r="C10" s="14" t="str">
        <x:v>函证联系人信息</x:v>
      </x:c>
      <x:c r="D10" s="14" t="str">
        <x:v>姓名、职位、邮箱、电话、地址及取得来源</x:v>
      </x:c>
      <x:c r="E10" s="14" t="str">
        <x:v>2022/12/31</x:v>
      </x:c>
      <x:c r="F10" s="14" t="str">
        <x:v>Excel</x:v>
      </x:c>
      <x:c r="G10" s="14" t="str">
        <x:v>销售部</x:v>
      </x:c>
      <x:c r="H10" s="26" t="str">
        <x:v>高</x:v>
      </x:c>
      <x:c r="I10" s="27" t="n">
        <x:v>44930</x:v>
      </x:c>
      <x:c r="J10" s="27"/>
      <x:c r="K10" s="26" t="str">
        <x:v>未提供</x:v>
      </x:c>
      <x:c r="L10" s="14" t="str"/>
    </x:row>
    <x:row r="11">
      <x:c r="A11" s="26" t="n">
        <x:v>10</x:v>
      </x:c>
      <x:c r="B11" s="26" t="str">
        <x:v>应收账款</x:v>
      </x:c>
      <x:c r="C11" s="14" t="str">
        <x:v>应收票据及应收款项融资明细</x:v>
      </x:c>
      <x:c r="D11" s="14" t="str">
        <x:v>出票人、承兑人、到期日、质押转让</x:v>
      </x:c>
      <x:c r="E11" s="14" t="str">
        <x:v>2022/12/31</x:v>
      </x:c>
      <x:c r="F11" s="14" t="str">
        <x:v>Excel</x:v>
      </x:c>
      <x:c r="G11" s="14" t="str">
        <x:v>财务部</x:v>
      </x:c>
      <x:c r="H11" s="26" t="str">
        <x:v>高</x:v>
      </x:c>
      <x:c r="I11" s="27" t="n">
        <x:v>44931</x:v>
      </x:c>
      <x:c r="J11" s="27"/>
      <x:c r="K11" s="26" t="str">
        <x:v>未提供</x:v>
      </x:c>
      <x:c r="L11" s="14" t="str"/>
    </x:row>
  </x:sheetData>
  <x:conditionalFormatting sqref="K2:K11">
    <x:cfRule type="containsText" dxfId="6" priority="1" operator="containsText" text="已提供"/>
    <x:cfRule type="containsText" dxfId="7" priority="2" operator="containsText" text="待补充"/>
  </x:conditionalFormatting>
  <x:conditionalFormatting sqref="A2:L11">
    <x:cfRule type="expression" dxfId="8" priority="3">
      <x:formula>AND($K2&lt;&gt;"已提供",$I2&lt;TODAY())</x:formula>
    </x:cfRule>
  </x:conditionalFormatting>
  <x:dataValidations count="2">
    <x:dataValidation type="list" sqref="H2:H11">
      <x:formula1>"高,中,低"</x:formula1>
    </x:dataValidation>
    <x:dataValidation type="list" sqref="K2:K11">
      <x:formula1>"未提供,已提供,待补充"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a9532471c24b9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8" hidden="0" customWidth="1"/>
    <x:col min="2" max="2" width="15" hidden="0" customWidth="1"/>
    <x:col min="3" max="3" width="28" hidden="0" customWidth="1"/>
    <x:col min="4" max="4" width="42" hidden="0" customWidth="1"/>
    <x:col min="5" max="5" width="16" hidden="0" customWidth="1"/>
    <x:col min="6" max="6" width="16" hidden="0" customWidth="1"/>
    <x:col min="7" max="7" width="18" hidden="0" customWidth="1"/>
    <x:col min="8" max="8" width="10" hidden="0" customWidth="1"/>
    <x:col min="9" max="9" width="15" hidden="0" customWidth="1"/>
    <x:col min="10" max="10" width="15" hidden="0" customWidth="1"/>
    <x:col min="11" max="11" width="12" hidden="0" customWidth="1"/>
    <x:col min="12" max="12" width="26" hidden="0" customWidth="1"/>
  </x:cols>
  <x:sheetData>
    <x:row r="1" ht="30" customHeight="1">
      <x:c r="A1" s="18" t="str">
        <x:v>序号</x:v>
      </x:c>
      <x:c r="B1" s="18" t="str">
        <x:v>模块</x:v>
      </x:c>
      <x:c r="C1" s="18" t="str">
        <x:v>资料名称</x:v>
      </x:c>
      <x:c r="D1" s="18" t="str">
        <x:v>资料说明</x:v>
      </x:c>
      <x:c r="E1" s="18" t="str">
        <x:v>对应期间</x:v>
      </x:c>
      <x:c r="F1" s="18" t="str">
        <x:v>格式要求</x:v>
      </x:c>
      <x:c r="G1" s="18" t="str">
        <x:v>责任部门</x:v>
      </x:c>
      <x:c r="H1" s="18" t="str">
        <x:v>优先级</x:v>
      </x:c>
      <x:c r="I1" s="18" t="str">
        <x:v>计划提供日期</x:v>
      </x:c>
      <x:c r="J1" s="18" t="str">
        <x:v>实际提供日期</x:v>
      </x:c>
      <x:c r="K1" s="18" t="str">
        <x:v>状态</x:v>
      </x:c>
      <x:c r="L1" s="18" t="str">
        <x:v>备注</x:v>
      </x:c>
    </x:row>
    <x:row r="2">
      <x:c r="A2" s="26" t="n">
        <x:v>1</x:v>
      </x:c>
      <x:c r="B2" s="26" t="str">
        <x:v>存货</x:v>
      </x:c>
      <x:c r="C2" s="14" t="str">
        <x:v>存货明细</x:v>
      </x:c>
      <x:c r="D2" s="14" t="str">
        <x:v>编码、名称、类别、仓库、数量、单位成本、金额</x:v>
      </x:c>
      <x:c r="E2" s="14" t="str">
        <x:v>2022/12/31</x:v>
      </x:c>
      <x:c r="F2" s="14" t="str">
        <x:v>Excel</x:v>
      </x:c>
      <x:c r="G2" s="14" t="str">
        <x:v>仓库/财务部</x:v>
      </x:c>
      <x:c r="H2" s="26" t="str">
        <x:v>高</x:v>
      </x:c>
      <x:c r="I2" s="27" t="n">
        <x:v>44929</x:v>
      </x:c>
      <x:c r="J2" s="27"/>
      <x:c r="K2" s="26" t="str">
        <x:v>未提供</x:v>
      </x:c>
      <x:c r="L2" s="14" t="str"/>
    </x:row>
    <x:row r="3">
      <x:c r="A3" s="26" t="n">
        <x:v>2</x:v>
      </x:c>
      <x:c r="B3" s="26" t="str">
        <x:v>存货</x:v>
      </x:c>
      <x:c r="C3" s="14" t="str">
        <x:v>仓库清单</x:v>
      </x:c>
      <x:c r="D3" s="14" t="str">
        <x:v>地址、负责人、存货类别、第三方仓库</x:v>
      </x:c>
      <x:c r="E3" s="14" t="str">
        <x:v>2022/12/31</x:v>
      </x:c>
      <x:c r="F3" s="14" t="str">
        <x:v>Excel</x:v>
      </x:c>
      <x:c r="G3" s="14" t="str">
        <x:v>仓库</x:v>
      </x:c>
      <x:c r="H3" s="26" t="str">
        <x:v>高</x:v>
      </x:c>
      <x:c r="I3" s="27" t="n">
        <x:v>44929</x:v>
      </x:c>
      <x:c r="J3" s="27"/>
      <x:c r="K3" s="26" t="str">
        <x:v>未提供</x:v>
      </x:c>
      <x:c r="L3" s="14" t="str"/>
    </x:row>
    <x:row r="4">
      <x:c r="A4" s="26" t="n">
        <x:v>3</x:v>
      </x:c>
      <x:c r="B4" s="26" t="str">
        <x:v>存货</x:v>
      </x:c>
      <x:c r="C4" s="14" t="str">
        <x:v>盘点计划</x:v>
      </x:c>
      <x:c r="D4" s="14" t="str">
        <x:v>范围、人员、时间、停工及差异处理</x:v>
      </x:c>
      <x:c r="E4" s="14" t="str">
        <x:v>2022年末</x:v>
      </x:c>
      <x:c r="F4" s="14" t="str">
        <x:v>PDF</x:v>
      </x:c>
      <x:c r="G4" s="14" t="str">
        <x:v>仓库</x:v>
      </x:c>
      <x:c r="H4" s="26" t="str">
        <x:v>高</x:v>
      </x:c>
      <x:c r="I4" s="27" t="n">
        <x:v>44922</x:v>
      </x:c>
      <x:c r="J4" s="27"/>
      <x:c r="K4" s="26" t="str">
        <x:v>未提供</x:v>
      </x:c>
      <x:c r="L4" s="14" t="str"/>
    </x:row>
    <x:row r="5">
      <x:c r="A5" s="26" t="n">
        <x:v>4</x:v>
      </x:c>
      <x:c r="B5" s="26" t="str">
        <x:v>存货</x:v>
      </x:c>
      <x:c r="C5" s="14" t="str">
        <x:v>盘点表及差异表</x:v>
      </x:c>
      <x:c r="D5" s="14" t="str">
        <x:v>盘点结果、账实差异和处理</x:v>
      </x:c>
      <x:c r="E5" s="14" t="str">
        <x:v>2022年末</x:v>
      </x:c>
      <x:c r="F5" s="14" t="str">
        <x:v>Excel/PDF</x:v>
      </x:c>
      <x:c r="G5" s="14" t="str">
        <x:v>仓库/财务部</x:v>
      </x:c>
      <x:c r="H5" s="26" t="str">
        <x:v>高</x:v>
      </x:c>
      <x:c r="I5" s="27" t="n">
        <x:v>44929</x:v>
      </x:c>
      <x:c r="J5" s="27"/>
      <x:c r="K5" s="26" t="str">
        <x:v>未提供</x:v>
      </x:c>
      <x:c r="L5" s="14" t="str"/>
    </x:row>
    <x:row r="6">
      <x:c r="A6" s="26" t="n">
        <x:v>5</x:v>
      </x:c>
      <x:c r="B6" s="26" t="str">
        <x:v>存货</x:v>
      </x:c>
      <x:c r="C6" s="14" t="str">
        <x:v>库龄分析</x:v>
      </x:c>
      <x:c r="D6" s="14" t="str">
        <x:v>最近出入库日期、库龄区间、周转</x:v>
      </x:c>
      <x:c r="E6" s="14" t="str">
        <x:v>2022/12/31</x:v>
      </x:c>
      <x:c r="F6" s="14" t="str">
        <x:v>Excel</x:v>
      </x:c>
      <x:c r="G6" s="14" t="str">
        <x:v>仓库/财务部</x:v>
      </x:c>
      <x:c r="H6" s="26" t="str">
        <x:v>高</x:v>
      </x:c>
      <x:c r="I6" s="27" t="n">
        <x:v>44931</x:v>
      </x:c>
      <x:c r="J6" s="27"/>
      <x:c r="K6" s="26" t="str">
        <x:v>未提供</x:v>
      </x:c>
      <x:c r="L6" s="14" t="str"/>
    </x:row>
    <x:row r="7">
      <x:c r="A7" s="26" t="n">
        <x:v>6</x:v>
      </x:c>
      <x:c r="B7" s="26" t="str">
        <x:v>存货</x:v>
      </x:c>
      <x:c r="C7" s="14" t="str">
        <x:v>呆滞、报废及损坏库存</x:v>
      </x:c>
      <x:c r="D7" s="14" t="str">
        <x:v>数量、金额、原因及处置计划</x:v>
      </x:c>
      <x:c r="E7" s="14" t="str">
        <x:v>2022/12/31</x:v>
      </x:c>
      <x:c r="F7" s="14" t="str">
        <x:v>Excel/PDF</x:v>
      </x:c>
      <x:c r="G7" s="14" t="str">
        <x:v>仓库</x:v>
      </x:c>
      <x:c r="H7" s="26" t="str">
        <x:v>高</x:v>
      </x:c>
      <x:c r="I7" s="27" t="n">
        <x:v>44931</x:v>
      </x:c>
      <x:c r="J7" s="27"/>
      <x:c r="K7" s="26" t="str">
        <x:v>未提供</x:v>
      </x:c>
      <x:c r="L7" s="14" t="str"/>
    </x:row>
    <x:row r="8">
      <x:c r="A8" s="26" t="n">
        <x:v>7</x:v>
      </x:c>
      <x:c r="B8" s="26" t="str">
        <x:v>存货</x:v>
      </x:c>
      <x:c r="C8" s="14" t="str">
        <x:v>存货跌价准备计算表</x:v>
      </x:c>
      <x:c r="D8" s="14" t="str">
        <x:v>可变现净值、售价、处置成本、计提</x:v>
      </x:c>
      <x:c r="E8" s="14" t="str">
        <x:v>2022/12/31</x:v>
      </x:c>
      <x:c r="F8" s="14" t="str">
        <x:v>Excel</x:v>
      </x:c>
      <x:c r="G8" s="14" t="str">
        <x:v>财务部</x:v>
      </x:c>
      <x:c r="H8" s="26" t="str">
        <x:v>高</x:v>
      </x:c>
      <x:c r="I8" s="27" t="n">
        <x:v>44932</x:v>
      </x:c>
      <x:c r="J8" s="27"/>
      <x:c r="K8" s="26" t="str">
        <x:v>未提供</x:v>
      </x:c>
      <x:c r="L8" s="14" t="str"/>
    </x:row>
    <x:row r="9">
      <x:c r="A9" s="26" t="n">
        <x:v>8</x:v>
      </x:c>
      <x:c r="B9" s="26" t="str">
        <x:v>存货</x:v>
      </x:c>
      <x:c r="C9" s="14" t="str">
        <x:v>委托加工物资明细</x:v>
      </x:c>
      <x:c r="D9" s="14" t="str">
        <x:v>受托方、地点、数量、金额和函证信息</x:v>
      </x:c>
      <x:c r="E9" s="14" t="str">
        <x:v>2022/12/31</x:v>
      </x:c>
      <x:c r="F9" s="14" t="str">
        <x:v>Excel</x:v>
      </x:c>
      <x:c r="G9" s="14" t="str">
        <x:v>采购部/仓库</x:v>
      </x:c>
      <x:c r="H9" s="26" t="str">
        <x:v>高</x:v>
      </x:c>
      <x:c r="I9" s="27" t="n">
        <x:v>44931</x:v>
      </x:c>
      <x:c r="J9" s="27"/>
      <x:c r="K9" s="26" t="str">
        <x:v>未提供</x:v>
      </x:c>
      <x:c r="L9" s="14" t="str"/>
    </x:row>
    <x:row r="10">
      <x:c r="A10" s="26" t="n">
        <x:v>9</x:v>
      </x:c>
      <x:c r="B10" s="26" t="str">
        <x:v>存货</x:v>
      </x:c>
      <x:c r="C10" s="14" t="str">
        <x:v>异地存货权属证明</x:v>
      </x:c>
      <x:c r="D10" s="14" t="str">
        <x:v>第三方确认、合同、仓单</x:v>
      </x:c>
      <x:c r="E10" s="14" t="str">
        <x:v>2022/12/31</x:v>
      </x:c>
      <x:c r="F10" s="14" t="str">
        <x:v>PDF</x:v>
      </x:c>
      <x:c r="G10" s="14" t="str">
        <x:v>仓库</x:v>
      </x:c>
      <x:c r="H10" s="26" t="str">
        <x:v>高</x:v>
      </x:c>
      <x:c r="I10" s="27" t="n">
        <x:v>44932</x:v>
      </x:c>
      <x:c r="J10" s="27"/>
      <x:c r="K10" s="26" t="str">
        <x:v>未提供</x:v>
      </x:c>
      <x:c r="L10" s="14" t="str"/>
    </x:row>
    <x:row r="11">
      <x:c r="A11" s="26" t="n">
        <x:v>10</x:v>
      </x:c>
      <x:c r="B11" s="26" t="str">
        <x:v>存货</x:v>
      </x:c>
      <x:c r="C11" s="14" t="str">
        <x:v>年末前后入出库明细</x:v>
      </x:c>
      <x:c r="D11" s="14" t="str">
        <x:v>2022-12-15至2023-01-15</x:v>
      </x:c>
      <x:c r="E11" s="14" t="str">
        <x:v>年末前后</x:v>
      </x:c>
      <x:c r="F11" s="14" t="str">
        <x:v>Excel</x:v>
      </x:c>
      <x:c r="G11" s="14" t="str">
        <x:v>仓库</x:v>
      </x:c>
      <x:c r="H11" s="26" t="str">
        <x:v>高</x:v>
      </x:c>
      <x:c r="I11" s="27" t="n">
        <x:v>44931</x:v>
      </x:c>
      <x:c r="J11" s="27"/>
      <x:c r="K11" s="26" t="str">
        <x:v>未提供</x:v>
      </x:c>
      <x:c r="L11" s="14" t="str"/>
    </x:row>
    <x:row r="12">
      <x:c r="A12" s="26" t="n">
        <x:v>11</x:v>
      </x:c>
      <x:c r="B12" s="26" t="str">
        <x:v>存货</x:v>
      </x:c>
      <x:c r="C12" s="14" t="str">
        <x:v>生产成本计算表</x:v>
      </x:c>
      <x:c r="D12" s="14" t="str">
        <x:v>材料、人工、制造费用及分配</x:v>
      </x:c>
      <x:c r="E12" s="14" t="str">
        <x:v>2022</x:v>
      </x:c>
      <x:c r="F12" s="14" t="str">
        <x:v>Excel</x:v>
      </x:c>
      <x:c r="G12" s="14" t="str">
        <x:v>生产部/财务部</x:v>
      </x:c>
      <x:c r="H12" s="26" t="str">
        <x:v>高</x:v>
      </x:c>
      <x:c r="I12" s="27" t="n">
        <x:v>44932</x:v>
      </x:c>
      <x:c r="J12" s="27"/>
      <x:c r="K12" s="26" t="str">
        <x:v>未提供</x:v>
      </x:c>
      <x:c r="L12" s="14" t="str"/>
    </x:row>
    <x:row r="13">
      <x:c r="A13" s="26" t="n">
        <x:v>12</x:v>
      </x:c>
      <x:c r="B13" s="26" t="str">
        <x:v>存货</x:v>
      </x:c>
      <x:c r="C13" s="14" t="str">
        <x:v>期后销售价格</x:v>
      </x:c>
      <x:c r="D13" s="14" t="str">
        <x:v>产品、销售日期、售价及处置费用</x:v>
      </x:c>
      <x:c r="E13" s="14" t="str">
        <x:v>2023-01至资料日</x:v>
      </x:c>
      <x:c r="F13" s="14" t="str">
        <x:v>Excel</x:v>
      </x:c>
      <x:c r="G13" s="14" t="str">
        <x:v>销售部</x:v>
      </x:c>
      <x:c r="H13" s="26" t="str">
        <x:v>中</x:v>
      </x:c>
      <x:c r="I13" s="27" t="n">
        <x:v>44939</x:v>
      </x:c>
      <x:c r="J13" s="27"/>
      <x:c r="K13" s="26" t="str">
        <x:v>未提供</x:v>
      </x:c>
      <x:c r="L13" s="14" t="str"/>
    </x:row>
  </x:sheetData>
  <x:conditionalFormatting sqref="K2:K13">
    <x:cfRule type="containsText" dxfId="9" priority="1" operator="containsText" text="已提供"/>
    <x:cfRule type="containsText" dxfId="10" priority="2" operator="containsText" text="待补充"/>
  </x:conditionalFormatting>
  <x:conditionalFormatting sqref="A2:L13">
    <x:cfRule type="expression" dxfId="11" priority="3">
      <x:formula>AND($K2&lt;&gt;"已提供",$I2&lt;TODAY())</x:formula>
    </x:cfRule>
  </x:conditionalFormatting>
  <x:dataValidations count="2">
    <x:dataValidation type="list" sqref="H2:H13">
      <x:formula1>"高,中,低"</x:formula1>
    </x:dataValidation>
    <x:dataValidation type="list" sqref="K2:K13">
      <x:formula1>"未提供,已提供,待补充"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ae6b242d804c0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8" hidden="0" customWidth="1"/>
    <x:col min="2" max="2" width="15" hidden="0" customWidth="1"/>
    <x:col min="3" max="3" width="28" hidden="0" customWidth="1"/>
    <x:col min="4" max="4" width="42" hidden="0" customWidth="1"/>
    <x:col min="5" max="5" width="16" hidden="0" customWidth="1"/>
    <x:col min="6" max="6" width="16" hidden="0" customWidth="1"/>
    <x:col min="7" max="7" width="18" hidden="0" customWidth="1"/>
    <x:col min="8" max="8" width="10" hidden="0" customWidth="1"/>
    <x:col min="9" max="9" width="15" hidden="0" customWidth="1"/>
    <x:col min="10" max="10" width="15" hidden="0" customWidth="1"/>
    <x:col min="11" max="11" width="12" hidden="0" customWidth="1"/>
    <x:col min="12" max="12" width="26" hidden="0" customWidth="1"/>
  </x:cols>
  <x:sheetData>
    <x:row r="1" ht="30" customHeight="1">
      <x:c r="A1" s="18" t="str">
        <x:v>序号</x:v>
      </x:c>
      <x:c r="B1" s="18" t="str">
        <x:v>模块</x:v>
      </x:c>
      <x:c r="C1" s="18" t="str">
        <x:v>资料名称</x:v>
      </x:c>
      <x:c r="D1" s="18" t="str">
        <x:v>资料说明</x:v>
      </x:c>
      <x:c r="E1" s="18" t="str">
        <x:v>对应期间</x:v>
      </x:c>
      <x:c r="F1" s="18" t="str">
        <x:v>格式要求</x:v>
      </x:c>
      <x:c r="G1" s="18" t="str">
        <x:v>责任部门</x:v>
      </x:c>
      <x:c r="H1" s="18" t="str">
        <x:v>优先级</x:v>
      </x:c>
      <x:c r="I1" s="18" t="str">
        <x:v>计划提供日期</x:v>
      </x:c>
      <x:c r="J1" s="18" t="str">
        <x:v>实际提供日期</x:v>
      </x:c>
      <x:c r="K1" s="18" t="str">
        <x:v>状态</x:v>
      </x:c>
      <x:c r="L1" s="18" t="str">
        <x:v>备注</x:v>
      </x:c>
    </x:row>
    <x:row r="2">
      <x:c r="A2" s="26" t="n">
        <x:v>1</x:v>
      </x:c>
      <x:c r="B2" s="26" t="str">
        <x:v>采购与成本</x:v>
      </x:c>
      <x:c r="C2" s="14" t="str">
        <x:v>采购明细</x:v>
      </x:c>
      <x:c r="D2" s="14" t="str">
        <x:v>供应商、材料、日期、数量、单价、金额</x:v>
      </x:c>
      <x:c r="E2" s="14" t="str">
        <x:v>2022</x:v>
      </x:c>
      <x:c r="F2" s="14" t="str">
        <x:v>Excel</x:v>
      </x:c>
      <x:c r="G2" s="14" t="str">
        <x:v>采购部/财务部</x:v>
      </x:c>
      <x:c r="H2" s="26" t="str">
        <x:v>高</x:v>
      </x:c>
      <x:c r="I2" s="27" t="n">
        <x:v>44929</x:v>
      </x:c>
      <x:c r="J2" s="27"/>
      <x:c r="K2" s="26" t="str">
        <x:v>未提供</x:v>
      </x:c>
      <x:c r="L2" s="14" t="str"/>
    </x:row>
    <x:row r="3">
      <x:c r="A3" s="26" t="n">
        <x:v>2</x:v>
      </x:c>
      <x:c r="B3" s="26" t="str">
        <x:v>采购与成本</x:v>
      </x:c>
      <x:c r="C3" s="14" t="str">
        <x:v>供应商主数据</x:v>
      </x:c>
      <x:c r="D3" s="14" t="str">
        <x:v>编码、名称、地区、账期、关联关系</x:v>
      </x:c>
      <x:c r="E3" s="14" t="str">
        <x:v>2022</x:v>
      </x:c>
      <x:c r="F3" s="14" t="str">
        <x:v>Excel</x:v>
      </x:c>
      <x:c r="G3" s="14" t="str">
        <x:v>采购部</x:v>
      </x:c>
      <x:c r="H3" s="26" t="str">
        <x:v>高</x:v>
      </x:c>
      <x:c r="I3" s="27" t="n">
        <x:v>44930</x:v>
      </x:c>
      <x:c r="J3" s="27"/>
      <x:c r="K3" s="26" t="str">
        <x:v>未提供</x:v>
      </x:c>
      <x:c r="L3" s="14" t="str"/>
    </x:row>
    <x:row r="4">
      <x:c r="A4" s="26" t="n">
        <x:v>3</x:v>
      </x:c>
      <x:c r="B4" s="26" t="str">
        <x:v>采购与成本</x:v>
      </x:c>
      <x:c r="C4" s="14" t="str">
        <x:v>采购合同与订单</x:v>
      </x:c>
      <x:c r="D4" s="14" t="str">
        <x:v>主要及异常采购的合同和订单</x:v>
      </x:c>
      <x:c r="E4" s="14" t="str">
        <x:v>2022</x:v>
      </x:c>
      <x:c r="F4" s="14" t="str">
        <x:v>PDF</x:v>
      </x:c>
      <x:c r="G4" s="14" t="str">
        <x:v>采购部</x:v>
      </x:c>
      <x:c r="H4" s="26" t="str">
        <x:v>高</x:v>
      </x:c>
      <x:c r="I4" s="27" t="n">
        <x:v>44932</x:v>
      </x:c>
      <x:c r="J4" s="27"/>
      <x:c r="K4" s="26" t="str">
        <x:v>未提供</x:v>
      </x:c>
      <x:c r="L4" s="14" t="str"/>
    </x:row>
    <x:row r="5">
      <x:c r="A5" s="26" t="n">
        <x:v>4</x:v>
      </x:c>
      <x:c r="B5" s="26" t="str">
        <x:v>采购与成本</x:v>
      </x:c>
      <x:c r="C5" s="14" t="str">
        <x:v>采购发票及入库单</x:v>
      </x:c>
      <x:c r="D5" s="14" t="str">
        <x:v>与采购明细可通过单号匹配</x:v>
      </x:c>
      <x:c r="E5" s="14" t="str">
        <x:v>2022</x:v>
      </x:c>
      <x:c r="F5" s="14" t="str">
        <x:v>Excel/PDF</x:v>
      </x:c>
      <x:c r="G5" s="14" t="str">
        <x:v>采购部/仓库</x:v>
      </x:c>
      <x:c r="H5" s="26" t="str">
        <x:v>高</x:v>
      </x:c>
      <x:c r="I5" s="27" t="n">
        <x:v>44932</x:v>
      </x:c>
      <x:c r="J5" s="27"/>
      <x:c r="K5" s="26" t="str">
        <x:v>未提供</x:v>
      </x:c>
      <x:c r="L5" s="14" t="str"/>
    </x:row>
    <x:row r="6">
      <x:c r="A6" s="26" t="n">
        <x:v>5</x:v>
      </x:c>
      <x:c r="B6" s="26" t="str">
        <x:v>采购与成本</x:v>
      </x:c>
      <x:c r="C6" s="14" t="str">
        <x:v>采购付款记录</x:v>
      </x:c>
      <x:c r="D6" s="14" t="str">
        <x:v>银行流水、付款申请及对应发票</x:v>
      </x:c>
      <x:c r="E6" s="14" t="str">
        <x:v>2022及期后</x:v>
      </x:c>
      <x:c r="F6" s="14" t="str">
        <x:v>Excel/PDF</x:v>
      </x:c>
      <x:c r="G6" s="14" t="str">
        <x:v>财务部</x:v>
      </x:c>
      <x:c r="H6" s="26" t="str">
        <x:v>高</x:v>
      </x:c>
      <x:c r="I6" s="27" t="n">
        <x:v>44932</x:v>
      </x:c>
      <x:c r="J6" s="27"/>
      <x:c r="K6" s="26" t="str">
        <x:v>未提供</x:v>
      </x:c>
      <x:c r="L6" s="14" t="str"/>
    </x:row>
    <x:row r="7">
      <x:c r="A7" s="26" t="n">
        <x:v>6</x:v>
      </x:c>
      <x:c r="B7" s="26" t="str">
        <x:v>采购与成本</x:v>
      </x:c>
      <x:c r="C7" s="14" t="str">
        <x:v>主要原材料价格表</x:v>
      </x:c>
      <x:c r="D7" s="14" t="str">
        <x:v>板材、塑料组件等月度采购价</x:v>
      </x:c>
      <x:c r="E7" s="14" t="str">
        <x:v>2020-2022</x:v>
      </x:c>
      <x:c r="F7" s="14" t="str">
        <x:v>Excel</x:v>
      </x:c>
      <x:c r="G7" s="14" t="str">
        <x:v>采购部</x:v>
      </x:c>
      <x:c r="H7" s="26" t="str">
        <x:v>高</x:v>
      </x:c>
      <x:c r="I7" s="27" t="n">
        <x:v>44931</x:v>
      </x:c>
      <x:c r="J7" s="27"/>
      <x:c r="K7" s="26" t="str">
        <x:v>未提供</x:v>
      </x:c>
      <x:c r="L7" s="14" t="str"/>
    </x:row>
    <x:row r="8">
      <x:c r="A8" s="26" t="n">
        <x:v>7</x:v>
      </x:c>
      <x:c r="B8" s="26" t="str">
        <x:v>采购与成本</x:v>
      </x:c>
      <x:c r="C8" s="14" t="str">
        <x:v>生产工单</x:v>
      </x:c>
      <x:c r="D8" s="14" t="str">
        <x:v>产品、批次、数量、工序和完成情况</x:v>
      </x:c>
      <x:c r="E8" s="14" t="str">
        <x:v>2022</x:v>
      </x:c>
      <x:c r="F8" s="14" t="str">
        <x:v>Excel</x:v>
      </x:c>
      <x:c r="G8" s="14" t="str">
        <x:v>生产部</x:v>
      </x:c>
      <x:c r="H8" s="26" t="str">
        <x:v>高</x:v>
      </x:c>
      <x:c r="I8" s="27" t="n">
        <x:v>44932</x:v>
      </x:c>
      <x:c r="J8" s="27"/>
      <x:c r="K8" s="26" t="str">
        <x:v>未提供</x:v>
      </x:c>
      <x:c r="L8" s="14" t="str"/>
    </x:row>
    <x:row r="9">
      <x:c r="A9" s="26" t="n">
        <x:v>8</x:v>
      </x:c>
      <x:c r="B9" s="26" t="str">
        <x:v>采购与成本</x:v>
      </x:c>
      <x:c r="C9" s="14" t="str">
        <x:v>材料领用单</x:v>
      </x:c>
      <x:c r="D9" s="14" t="str">
        <x:v>工单、材料、标准/实际耗用</x:v>
      </x:c>
      <x:c r="E9" s="14" t="str">
        <x:v>2022</x:v>
      </x:c>
      <x:c r="F9" s="14" t="str">
        <x:v>Excel</x:v>
      </x:c>
      <x:c r="G9" s="14" t="str">
        <x:v>生产部/仓库</x:v>
      </x:c>
      <x:c r="H9" s="26" t="str">
        <x:v>高</x:v>
      </x:c>
      <x:c r="I9" s="27" t="n">
        <x:v>44932</x:v>
      </x:c>
      <x:c r="J9" s="27"/>
      <x:c r="K9" s="26" t="str">
        <x:v>未提供</x:v>
      </x:c>
      <x:c r="L9" s="14" t="str"/>
    </x:row>
    <x:row r="10">
      <x:c r="A10" s="26" t="n">
        <x:v>9</x:v>
      </x:c>
      <x:c r="B10" s="26" t="str">
        <x:v>采购与成本</x:v>
      </x:c>
      <x:c r="C10" s="14" t="str">
        <x:v>工时记录</x:v>
      </x:c>
      <x:c r="D10" s="14" t="str">
        <x:v>人员/设备工时及工单对应</x:v>
      </x:c>
      <x:c r="E10" s="14" t="str">
        <x:v>2022</x:v>
      </x:c>
      <x:c r="F10" s="14" t="str">
        <x:v>Excel</x:v>
      </x:c>
      <x:c r="G10" s="14" t="str">
        <x:v>生产部</x:v>
      </x:c>
      <x:c r="H10" s="26" t="str">
        <x:v>中</x:v>
      </x:c>
      <x:c r="I10" s="27" t="n">
        <x:v>44935</x:v>
      </x:c>
      <x:c r="J10" s="27"/>
      <x:c r="K10" s="26" t="str">
        <x:v>未提供</x:v>
      </x:c>
      <x:c r="L10" s="14" t="str"/>
    </x:row>
    <x:row r="11">
      <x:c r="A11" s="26" t="n">
        <x:v>10</x:v>
      </x:c>
      <x:c r="B11" s="26" t="str">
        <x:v>采购与成本</x:v>
      </x:c>
      <x:c r="C11" s="14" t="str">
        <x:v>制造费用分配表</x:v>
      </x:c>
      <x:c r="D11" s="14" t="str">
        <x:v>费用池、分配基础、分配率和结果</x:v>
      </x:c>
      <x:c r="E11" s="14" t="str">
        <x:v>2022</x:v>
      </x:c>
      <x:c r="F11" s="14" t="str">
        <x:v>Excel</x:v>
      </x:c>
      <x:c r="G11" s="14" t="str">
        <x:v>财务部</x:v>
      </x:c>
      <x:c r="H11" s="26" t="str">
        <x:v>高</x:v>
      </x:c>
      <x:c r="I11" s="27" t="n">
        <x:v>44932</x:v>
      </x:c>
      <x:c r="J11" s="27"/>
      <x:c r="K11" s="26" t="str">
        <x:v>未提供</x:v>
      </x:c>
      <x:c r="L11" s="14" t="str"/>
    </x:row>
    <x:row r="12">
      <x:c r="A12" s="26" t="n">
        <x:v>11</x:v>
      </x:c>
      <x:c r="B12" s="26" t="str">
        <x:v>采购与成本</x:v>
      </x:c>
      <x:c r="C12" s="14" t="str">
        <x:v>单位成本计算表</x:v>
      </x:c>
      <x:c r="D12" s="14" t="str">
        <x:v>家电及服务器滑轨售价、材料、人工、制造费</x:v>
      </x:c>
      <x:c r="E12" s="14" t="str">
        <x:v>2020-2022</x:v>
      </x:c>
      <x:c r="F12" s="14" t="str">
        <x:v>Excel</x:v>
      </x:c>
      <x:c r="G12" s="14" t="str">
        <x:v>财务部</x:v>
      </x:c>
      <x:c r="H12" s="26" t="str">
        <x:v>高</x:v>
      </x:c>
      <x:c r="I12" s="27" t="n">
        <x:v>44932</x:v>
      </x:c>
      <x:c r="J12" s="27"/>
      <x:c r="K12" s="26" t="str">
        <x:v>未提供</x:v>
      </x:c>
      <x:c r="L12" s="14" t="str"/>
    </x:row>
    <x:row r="13">
      <x:c r="A13" s="26" t="n">
        <x:v>12</x:v>
      </x:c>
      <x:c r="B13" s="26" t="str">
        <x:v>采购与成本</x:v>
      </x:c>
      <x:c r="C13" s="14" t="str">
        <x:v>成本结转表</x:v>
      </x:c>
      <x:c r="D13" s="14" t="str">
        <x:v>产成品入库和销售成本结转勾稽</x:v>
      </x:c>
      <x:c r="E13" s="14" t="str">
        <x:v>2022</x:v>
      </x:c>
      <x:c r="F13" s="14" t="str">
        <x:v>Excel</x:v>
      </x:c>
      <x:c r="G13" s="14" t="str">
        <x:v>财务部</x:v>
      </x:c>
      <x:c r="H13" s="26" t="str">
        <x:v>高</x:v>
      </x:c>
      <x:c r="I13" s="27" t="n">
        <x:v>44932</x:v>
      </x:c>
      <x:c r="J13" s="27"/>
      <x:c r="K13" s="26" t="str">
        <x:v>未提供</x:v>
      </x:c>
      <x:c r="L13" s="14" t="str"/>
    </x:row>
  </x:sheetData>
  <x:conditionalFormatting sqref="K2:K13">
    <x:cfRule type="containsText" dxfId="12" priority="1" operator="containsText" text="已提供"/>
    <x:cfRule type="containsText" dxfId="13" priority="2" operator="containsText" text="待补充"/>
  </x:conditionalFormatting>
  <x:conditionalFormatting sqref="A2:L13">
    <x:cfRule type="expression" dxfId="14" priority="3">
      <x:formula>AND($K2&lt;&gt;"已提供",$I2&lt;TODAY())</x:formula>
    </x:cfRule>
  </x:conditionalFormatting>
  <x:dataValidations count="2">
    <x:dataValidation type="list" sqref="H2:H13">
      <x:formula1>"高,中,低"</x:formula1>
    </x:dataValidation>
    <x:dataValidation type="list" sqref="K2:K13">
      <x:formula1>"未提供,已提供,待补充"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84153c58af45f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8" hidden="0" customWidth="1"/>
    <x:col min="2" max="2" width="15" hidden="0" customWidth="1"/>
    <x:col min="3" max="3" width="28" hidden="0" customWidth="1"/>
    <x:col min="4" max="4" width="42" hidden="0" customWidth="1"/>
    <x:col min="5" max="5" width="16" hidden="0" customWidth="1"/>
    <x:col min="6" max="6" width="16" hidden="0" customWidth="1"/>
    <x:col min="7" max="7" width="18" hidden="0" customWidth="1"/>
    <x:col min="8" max="8" width="10" hidden="0" customWidth="1"/>
    <x:col min="9" max="9" width="15" hidden="0" customWidth="1"/>
    <x:col min="10" max="10" width="15" hidden="0" customWidth="1"/>
    <x:col min="11" max="11" width="12" hidden="0" customWidth="1"/>
    <x:col min="12" max="12" width="26" hidden="0" customWidth="1"/>
  </x:cols>
  <x:sheetData>
    <x:row r="1" ht="30" customHeight="1">
      <x:c r="A1" s="18" t="str">
        <x:v>序号</x:v>
      </x:c>
      <x:c r="B1" s="18" t="str">
        <x:v>模块</x:v>
      </x:c>
      <x:c r="C1" s="18" t="str">
        <x:v>资料名称</x:v>
      </x:c>
      <x:c r="D1" s="18" t="str">
        <x:v>资料说明</x:v>
      </x:c>
      <x:c r="E1" s="18" t="str">
        <x:v>对应期间</x:v>
      </x:c>
      <x:c r="F1" s="18" t="str">
        <x:v>格式要求</x:v>
      </x:c>
      <x:c r="G1" s="18" t="str">
        <x:v>责任部门</x:v>
      </x:c>
      <x:c r="H1" s="18" t="str">
        <x:v>优先级</x:v>
      </x:c>
      <x:c r="I1" s="18" t="str">
        <x:v>计划提供日期</x:v>
      </x:c>
      <x:c r="J1" s="18" t="str">
        <x:v>实际提供日期</x:v>
      </x:c>
      <x:c r="K1" s="18" t="str">
        <x:v>状态</x:v>
      </x:c>
      <x:c r="L1" s="18" t="str">
        <x:v>备注</x:v>
      </x:c>
    </x:row>
    <x:row r="2">
      <x:c r="A2" s="26" t="n">
        <x:v>1</x:v>
      </x:c>
      <x:c r="B2" s="26" t="str">
        <x:v>资金与借款</x:v>
      </x:c>
      <x:c r="C2" s="14" t="str">
        <x:v>银行对账单</x:v>
      </x:c>
      <x:c r="D2" s="14" t="str">
        <x:v>全部银行账户全年及期后</x:v>
      </x:c>
      <x:c r="E2" s="14" t="str">
        <x:v>2022及期后</x:v>
      </x:c>
      <x:c r="F2" s="14" t="str">
        <x:v>PDF</x:v>
      </x:c>
      <x:c r="G2" s="14" t="str">
        <x:v>财务部</x:v>
      </x:c>
      <x:c r="H2" s="26" t="str">
        <x:v>高</x:v>
      </x:c>
      <x:c r="I2" s="27" t="n">
        <x:v>44930</x:v>
      </x:c>
      <x:c r="J2" s="27"/>
      <x:c r="K2" s="26" t="str">
        <x:v>未提供</x:v>
      </x:c>
      <x:c r="L2" s="14" t="str"/>
    </x:row>
    <x:row r="3">
      <x:c r="A3" s="26" t="n">
        <x:v>2</x:v>
      </x:c>
      <x:c r="B3" s="26" t="str">
        <x:v>资金与借款</x:v>
      </x:c>
      <x:c r="C3" s="14" t="str">
        <x:v>银行余额调节表</x:v>
      </x:c>
      <x:c r="D3" s="14" t="str">
        <x:v>未达账项及期后清理</x:v>
      </x:c>
      <x:c r="E3" s="14" t="str">
        <x:v>2022/12/31</x:v>
      </x:c>
      <x:c r="F3" s="14" t="str">
        <x:v>Excel</x:v>
      </x:c>
      <x:c r="G3" s="14" t="str">
        <x:v>财务部</x:v>
      </x:c>
      <x:c r="H3" s="26" t="str">
        <x:v>高</x:v>
      </x:c>
      <x:c r="I3" s="27" t="n">
        <x:v>44930</x:v>
      </x:c>
      <x:c r="J3" s="27"/>
      <x:c r="K3" s="26" t="str">
        <x:v>未提供</x:v>
      </x:c>
      <x:c r="L3" s="14" t="str"/>
    </x:row>
    <x:row r="4">
      <x:c r="A4" s="26" t="n">
        <x:v>3</x:v>
      </x:c>
      <x:c r="B4" s="26" t="str">
        <x:v>资金与借款</x:v>
      </x:c>
      <x:c r="C4" s="14" t="str">
        <x:v>借款合同</x:v>
      </x:c>
      <x:c r="D4" s="14" t="str">
        <x:v>金额、期限、利率、用途、抵押担保</x:v>
      </x:c>
      <x:c r="E4" s="14" t="str">
        <x:v>2022/12/31</x:v>
      </x:c>
      <x:c r="F4" s="14" t="str">
        <x:v>PDF</x:v>
      </x:c>
      <x:c r="G4" s="14" t="str">
        <x:v>财务部</x:v>
      </x:c>
      <x:c r="H4" s="26" t="str">
        <x:v>高</x:v>
      </x:c>
      <x:c r="I4" s="27" t="n">
        <x:v>44931</x:v>
      </x:c>
      <x:c r="J4" s="27"/>
      <x:c r="K4" s="26" t="str">
        <x:v>未提供</x:v>
      </x:c>
      <x:c r="L4" s="14" t="str"/>
    </x:row>
    <x:row r="5">
      <x:c r="A5" s="26" t="n">
        <x:v>4</x:v>
      </x:c>
      <x:c r="B5" s="26" t="str">
        <x:v>资金与借款</x:v>
      </x:c>
      <x:c r="C5" s="14" t="str">
        <x:v>授信协议</x:v>
      </x:c>
      <x:c r="D5" s="14" t="str">
        <x:v>额度、已用、剩余、条件和到期日</x:v>
      </x:c>
      <x:c r="E5" s="14" t="str">
        <x:v>2022/12/31及期后</x:v>
      </x:c>
      <x:c r="F5" s="14" t="str">
        <x:v>PDF</x:v>
      </x:c>
      <x:c r="G5" s="14" t="str">
        <x:v>财务部</x:v>
      </x:c>
      <x:c r="H5" s="26" t="str">
        <x:v>高</x:v>
      </x:c>
      <x:c r="I5" s="27" t="n">
        <x:v>44931</x:v>
      </x:c>
      <x:c r="J5" s="27"/>
      <x:c r="K5" s="26" t="str">
        <x:v>未提供</x:v>
      </x:c>
      <x:c r="L5" s="14" t="str"/>
    </x:row>
    <x:row r="6">
      <x:c r="A6" s="26" t="n">
        <x:v>5</x:v>
      </x:c>
      <x:c r="B6" s="26" t="str">
        <x:v>资金与借款</x:v>
      </x:c>
      <x:c r="C6" s="14" t="str">
        <x:v>抵押、质押和担保资料</x:v>
      </x:c>
      <x:c r="D6" s="14" t="str">
        <x:v>资产清单、评估、登记和限制</x:v>
      </x:c>
      <x:c r="E6" s="14" t="str">
        <x:v>2022/12/31</x:v>
      </x:c>
      <x:c r="F6" s="14" t="str">
        <x:v>PDF</x:v>
      </x:c>
      <x:c r="G6" s="14" t="str">
        <x:v>财务部</x:v>
      </x:c>
      <x:c r="H6" s="26" t="str">
        <x:v>高</x:v>
      </x:c>
      <x:c r="I6" s="27" t="n">
        <x:v>44932</x:v>
      </x:c>
      <x:c r="J6" s="27"/>
      <x:c r="K6" s="26" t="str">
        <x:v>未提供</x:v>
      </x:c>
      <x:c r="L6" s="14" t="str"/>
    </x:row>
    <x:row r="7">
      <x:c r="A7" s="26" t="n">
        <x:v>6</x:v>
      </x:c>
      <x:c r="B7" s="26" t="str">
        <x:v>资金与借款</x:v>
      </x:c>
      <x:c r="C7" s="14" t="str">
        <x:v>利息计算表</x:v>
      </x:c>
      <x:c r="D7" s="14" t="str">
        <x:v>本金、利率、计息天数、应付未付</x:v>
      </x:c>
      <x:c r="E7" s="14" t="str">
        <x:v>2022</x:v>
      </x:c>
      <x:c r="F7" s="14" t="str">
        <x:v>Excel</x:v>
      </x:c>
      <x:c r="G7" s="14" t="str">
        <x:v>财务部</x:v>
      </x:c>
      <x:c r="H7" s="26" t="str">
        <x:v>高</x:v>
      </x:c>
      <x:c r="I7" s="27" t="n">
        <x:v>44932</x:v>
      </x:c>
      <x:c r="J7" s="27"/>
      <x:c r="K7" s="26" t="str">
        <x:v>未提供</x:v>
      </x:c>
      <x:c r="L7" s="14" t="str"/>
    </x:row>
    <x:row r="8">
      <x:c r="A8" s="26" t="n">
        <x:v>7</x:v>
      </x:c>
      <x:c r="B8" s="26" t="str">
        <x:v>资金与借款</x:v>
      </x:c>
      <x:c r="C8" s="14" t="str">
        <x:v>银行函证信息</x:v>
      </x:c>
      <x:c r="D8" s="14" t="str">
        <x:v>银行名称、地址、联系人及账户借款清单</x:v>
      </x:c>
      <x:c r="E8" s="14" t="str">
        <x:v>2022/12/31</x:v>
      </x:c>
      <x:c r="F8" s="14" t="str">
        <x:v>Excel</x:v>
      </x:c>
      <x:c r="G8" s="14" t="str">
        <x:v>财务部</x:v>
      </x:c>
      <x:c r="H8" s="26" t="str">
        <x:v>高</x:v>
      </x:c>
      <x:c r="I8" s="27" t="n">
        <x:v>44930</x:v>
      </x:c>
      <x:c r="J8" s="27"/>
      <x:c r="K8" s="26" t="str">
        <x:v>未提供</x:v>
      </x:c>
      <x:c r="L8" s="14" t="str"/>
    </x:row>
    <x:row r="9">
      <x:c r="A9" s="26" t="n">
        <x:v>8</x:v>
      </x:c>
      <x:c r="B9" s="26" t="str">
        <x:v>资金与借款</x:v>
      </x:c>
      <x:c r="C9" s="14" t="str">
        <x:v>未来12个月资金预算</x:v>
      </x:c>
      <x:c r="D9" s="14" t="str">
        <x:v>经营现金流、融资、还本付息及敏感性</x:v>
      </x:c>
      <x:c r="E9" s="14" t="str">
        <x:v>未来12个月</x:v>
      </x:c>
      <x:c r="F9" s="14" t="str">
        <x:v>Excel</x:v>
      </x:c>
      <x:c r="G9" s="14" t="str">
        <x:v>财务部</x:v>
      </x:c>
      <x:c r="H9" s="26" t="str">
        <x:v>高</x:v>
      </x:c>
      <x:c r="I9" s="27" t="n">
        <x:v>44939</x:v>
      </x:c>
      <x:c r="J9" s="27"/>
      <x:c r="K9" s="26" t="str">
        <x:v>未提供</x:v>
      </x:c>
      <x:c r="L9" s="14" t="str"/>
    </x:row>
    <x:row r="10">
      <x:c r="A10" s="26" t="n">
        <x:v>9</x:v>
      </x:c>
      <x:c r="B10" s="26" t="str">
        <x:v>资金与借款</x:v>
      </x:c>
      <x:c r="C10" s="14" t="str">
        <x:v>期后还款及新增融资</x:v>
      </x:c>
      <x:c r="D10" s="14" t="str">
        <x:v>银行流水、回单、合同和授信</x:v>
      </x:c>
      <x:c r="E10" s="14" t="str">
        <x:v>期后</x:v>
      </x:c>
      <x:c r="F10" s="14" t="str">
        <x:v>Excel/PDF</x:v>
      </x:c>
      <x:c r="G10" s="14" t="str">
        <x:v>财务部</x:v>
      </x:c>
      <x:c r="H10" s="26" t="str">
        <x:v>高</x:v>
      </x:c>
      <x:c r="I10" s="27" t="n">
        <x:v>44946</x:v>
      </x:c>
      <x:c r="J10" s="27"/>
      <x:c r="K10" s="26" t="str">
        <x:v>未提供</x:v>
      </x:c>
      <x:c r="L10" s="14" t="str"/>
    </x:row>
  </x:sheetData>
  <x:conditionalFormatting sqref="K2:K10">
    <x:cfRule type="containsText" dxfId="15" priority="1" operator="containsText" text="已提供"/>
    <x:cfRule type="containsText" dxfId="16" priority="2" operator="containsText" text="待补充"/>
  </x:conditionalFormatting>
  <x:conditionalFormatting sqref="A2:L10">
    <x:cfRule type="expression" dxfId="17" priority="3">
      <x:formula>AND($K2&lt;&gt;"已提供",$I2&lt;TODAY())</x:formula>
    </x:cfRule>
  </x:conditionalFormatting>
  <x:dataValidations count="2">
    <x:dataValidation type="list" sqref="H2:H10">
      <x:formula1>"高,中,低"</x:formula1>
    </x:dataValidation>
    <x:dataValidation type="list" sqref="K2:K10">
      <x:formula1>"未提供,已提供,待补充"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8c31d50b324d1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8" hidden="0" customWidth="1"/>
    <x:col min="2" max="2" width="15" hidden="0" customWidth="1"/>
    <x:col min="3" max="3" width="28" hidden="0" customWidth="1"/>
    <x:col min="4" max="4" width="42" hidden="0" customWidth="1"/>
    <x:col min="5" max="5" width="16" hidden="0" customWidth="1"/>
    <x:col min="6" max="6" width="16" hidden="0" customWidth="1"/>
    <x:col min="7" max="7" width="18" hidden="0" customWidth="1"/>
    <x:col min="8" max="8" width="10" hidden="0" customWidth="1"/>
    <x:col min="9" max="9" width="15" hidden="0" customWidth="1"/>
    <x:col min="10" max="10" width="15" hidden="0" customWidth="1"/>
    <x:col min="11" max="11" width="12" hidden="0" customWidth="1"/>
    <x:col min="12" max="12" width="26" hidden="0" customWidth="1"/>
  </x:cols>
  <x:sheetData>
    <x:row r="1" ht="30" customHeight="1">
      <x:c r="A1" s="18" t="str">
        <x:v>序号</x:v>
      </x:c>
      <x:c r="B1" s="18" t="str">
        <x:v>模块</x:v>
      </x:c>
      <x:c r="C1" s="18" t="str">
        <x:v>资料名称</x:v>
      </x:c>
      <x:c r="D1" s="18" t="str">
        <x:v>资料说明</x:v>
      </x:c>
      <x:c r="E1" s="18" t="str">
        <x:v>对应期间</x:v>
      </x:c>
      <x:c r="F1" s="18" t="str">
        <x:v>格式要求</x:v>
      </x:c>
      <x:c r="G1" s="18" t="str">
        <x:v>责任部门</x:v>
      </x:c>
      <x:c r="H1" s="18" t="str">
        <x:v>优先级</x:v>
      </x:c>
      <x:c r="I1" s="18" t="str">
        <x:v>计划提供日期</x:v>
      </x:c>
      <x:c r="J1" s="18" t="str">
        <x:v>实际提供日期</x:v>
      </x:c>
      <x:c r="K1" s="18" t="str">
        <x:v>状态</x:v>
      </x:c>
      <x:c r="L1" s="18" t="str">
        <x:v>备注</x:v>
      </x:c>
    </x:row>
    <x:row r="2">
      <x:c r="A2" s="26" t="n">
        <x:v>1</x:v>
      </x:c>
      <x:c r="B2" s="26" t="str">
        <x:v>其他重点项目</x:v>
      </x:c>
      <x:c r="C2" s="14" t="str">
        <x:v>预付款项明细</x:v>
      </x:c>
      <x:c r="D2" s="14" t="str">
        <x:v>供应商、余额、账龄、合同、期后到货</x:v>
      </x:c>
      <x:c r="E2" s="14" t="str">
        <x:v>2022/12/31</x:v>
      </x:c>
      <x:c r="F2" s="14" t="str">
        <x:v>Excel</x:v>
      </x:c>
      <x:c r="G2" s="14" t="str">
        <x:v>采购部/财务部</x:v>
      </x:c>
      <x:c r="H2" s="26" t="str">
        <x:v>高</x:v>
      </x:c>
      <x:c r="I2" s="27" t="n">
        <x:v>44931</x:v>
      </x:c>
      <x:c r="J2" s="27"/>
      <x:c r="K2" s="26" t="str">
        <x:v>未提供</x:v>
      </x:c>
      <x:c r="L2" s="14" t="str"/>
    </x:row>
    <x:row r="3">
      <x:c r="A3" s="26" t="n">
        <x:v>2</x:v>
      </x:c>
      <x:c r="B3" s="26" t="str">
        <x:v>其他重点项目</x:v>
      </x:c>
      <x:c r="C3" s="14" t="str">
        <x:v>其他流动资产明细</x:v>
      </x:c>
      <x:c r="D3" s="14" t="str">
        <x:v>项目构成、形成日期、凭证、期后结转</x:v>
      </x:c>
      <x:c r="E3" s="14" t="str">
        <x:v>2022/12/31</x:v>
      </x:c>
      <x:c r="F3" s="14" t="str">
        <x:v>Excel</x:v>
      </x:c>
      <x:c r="G3" s="14" t="str">
        <x:v>财务部</x:v>
      </x:c>
      <x:c r="H3" s="26" t="str">
        <x:v>高</x:v>
      </x:c>
      <x:c r="I3" s="27" t="n">
        <x:v>44931</x:v>
      </x:c>
      <x:c r="J3" s="27"/>
      <x:c r="K3" s="26" t="str">
        <x:v>未提供</x:v>
      </x:c>
      <x:c r="L3" s="14" t="str"/>
    </x:row>
    <x:row r="4">
      <x:c r="A4" s="26" t="n">
        <x:v>3</x:v>
      </x:c>
      <x:c r="B4" s="26" t="str">
        <x:v>其他重点项目</x:v>
      </x:c>
      <x:c r="C4" s="14" t="str">
        <x:v>主要预付款合同与付款</x:v>
      </x:c>
      <x:c r="D4" s="14" t="str">
        <x:v>交易背景、合同、付款申请和银行流水</x:v>
      </x:c>
      <x:c r="E4" s="14" t="str">
        <x:v>2022</x:v>
      </x:c>
      <x:c r="F4" s="14" t="str">
        <x:v>PDF</x:v>
      </x:c>
      <x:c r="G4" s="14" t="str">
        <x:v>采购部/财务部</x:v>
      </x:c>
      <x:c r="H4" s="26" t="str">
        <x:v>高</x:v>
      </x:c>
      <x:c r="I4" s="27" t="n">
        <x:v>44932</x:v>
      </x:c>
      <x:c r="J4" s="27"/>
      <x:c r="K4" s="26" t="str">
        <x:v>未提供</x:v>
      </x:c>
      <x:c r="L4" s="14" t="str"/>
    </x:row>
    <x:row r="5">
      <x:c r="A5" s="26" t="n">
        <x:v>4</x:v>
      </x:c>
      <x:c r="B5" s="26" t="str">
        <x:v>其他重点项目</x:v>
      </x:c>
      <x:c r="C5" s="14" t="str">
        <x:v>预付款期后到货结算</x:v>
      </x:c>
      <x:c r="D5" s="14" t="str">
        <x:v>入库、发票、结算或退款</x:v>
      </x:c>
      <x:c r="E5" s="14" t="str">
        <x:v>期后</x:v>
      </x:c>
      <x:c r="F5" s="14" t="str">
        <x:v>Excel/PDF</x:v>
      </x:c>
      <x:c r="G5" s="14" t="str">
        <x:v>采购部/财务部</x:v>
      </x:c>
      <x:c r="H5" s="26" t="str">
        <x:v>高</x:v>
      </x:c>
      <x:c r="I5" s="27" t="n">
        <x:v>44939</x:v>
      </x:c>
      <x:c r="J5" s="27"/>
      <x:c r="K5" s="26" t="str">
        <x:v>未提供</x:v>
      </x:c>
      <x:c r="L5" s="14" t="str"/>
    </x:row>
    <x:row r="6">
      <x:c r="A6" s="26" t="n">
        <x:v>5</x:v>
      </x:c>
      <x:c r="B6" s="26" t="str">
        <x:v>其他重点项目</x:v>
      </x:c>
      <x:c r="C6" s="14" t="str">
        <x:v>股本变动批准文件</x:v>
      </x:c>
      <x:c r="D6" s="14" t="str">
        <x:v>董事会、股东会决议及监管文件</x:v>
      </x:c>
      <x:c r="E6" s="14" t="str">
        <x:v>2022</x:v>
      </x:c>
      <x:c r="F6" s="14" t="str">
        <x:v>PDF</x:v>
      </x:c>
      <x:c r="G6" s="14" t="str">
        <x:v>董事会办公室</x:v>
      </x:c>
      <x:c r="H6" s="26" t="str">
        <x:v>高</x:v>
      </x:c>
      <x:c r="I6" s="27" t="n">
        <x:v>44932</x:v>
      </x:c>
      <x:c r="J6" s="27"/>
      <x:c r="K6" s="26" t="str">
        <x:v>未提供</x:v>
      </x:c>
      <x:c r="L6" s="14" t="str"/>
    </x:row>
    <x:row r="7">
      <x:c r="A7" s="26" t="n">
        <x:v>6</x:v>
      </x:c>
      <x:c r="B7" s="26" t="str">
        <x:v>其他重点项目</x:v>
      </x:c>
      <x:c r="C7" s="14" t="str">
        <x:v>资本公积变动资料</x:v>
      </x:c>
      <x:c r="D7" s="14" t="str">
        <x:v>交易依据、缴款/验资和会计凭证</x:v>
      </x:c>
      <x:c r="E7" s="14" t="str">
        <x:v>2022</x:v>
      </x:c>
      <x:c r="F7" s="14" t="str">
        <x:v>PDF</x:v>
      </x:c>
      <x:c r="G7" s="14" t="str">
        <x:v>财务部</x:v>
      </x:c>
      <x:c r="H7" s="26" t="str">
        <x:v>高</x:v>
      </x:c>
      <x:c r="I7" s="27" t="n">
        <x:v>44932</x:v>
      </x:c>
      <x:c r="J7" s="27"/>
      <x:c r="K7" s="26" t="str">
        <x:v>未提供</x:v>
      </x:c>
      <x:c r="L7" s="14" t="str"/>
    </x:row>
    <x:row r="8">
      <x:c r="A8" s="26" t="n">
        <x:v>7</x:v>
      </x:c>
      <x:c r="B8" s="26" t="str">
        <x:v>其他重点项目</x:v>
      </x:c>
      <x:c r="C8" s="14" t="str">
        <x:v>工商登记资料</x:v>
      </x:c>
      <x:c r="D8" s="14" t="str">
        <x:v>注册资本及股权结构变更</x:v>
      </x:c>
      <x:c r="E8" s="14" t="str">
        <x:v>2022及期后</x:v>
      </x:c>
      <x:c r="F8" s="14" t="str">
        <x:v>PDF</x:v>
      </x:c>
      <x:c r="G8" s="14" t="str">
        <x:v>董事会办公室</x:v>
      </x:c>
      <x:c r="H8" s="26" t="str">
        <x:v>高</x:v>
      </x:c>
      <x:c r="I8" s="27" t="n">
        <x:v>44932</x:v>
      </x:c>
      <x:c r="J8" s="27"/>
      <x:c r="K8" s="26" t="str">
        <x:v>未提供</x:v>
      </x:c>
      <x:c r="L8" s="14" t="str"/>
    </x:row>
    <x:row r="9">
      <x:c r="A9" s="26" t="n">
        <x:v>8</x:v>
      </x:c>
      <x:c r="B9" s="26" t="str">
        <x:v>其他重点项目</x:v>
      </x:c>
      <x:c r="C9" s="14" t="str">
        <x:v>租赁合同及测算</x:v>
      </x:c>
      <x:c r="D9" s="14" t="str">
        <x:v>使用权资产、租赁负债、折现率和付款</x:v>
      </x:c>
      <x:c r="E9" s="14" t="str">
        <x:v>2022</x:v>
      </x:c>
      <x:c r="F9" s="14" t="str">
        <x:v>Excel/PDF</x:v>
      </x:c>
      <x:c r="G9" s="14" t="str">
        <x:v>财务部</x:v>
      </x:c>
      <x:c r="H9" s="26" t="str">
        <x:v>中</x:v>
      </x:c>
      <x:c r="I9" s="27" t="n">
        <x:v>44935</x:v>
      </x:c>
      <x:c r="J9" s="27"/>
      <x:c r="K9" s="26" t="str">
        <x:v>未提供</x:v>
      </x:c>
      <x:c r="L9" s="14" t="str"/>
    </x:row>
    <x:row r="10">
      <x:c r="A10" s="26" t="n">
        <x:v>9</x:v>
      </x:c>
      <x:c r="B10" s="26" t="str">
        <x:v>其他重点项目</x:v>
      </x:c>
      <x:c r="C10" s="14" t="str">
        <x:v>政府补助资料</x:v>
      </x:c>
      <x:c r="D10" s="14" t="str">
        <x:v>项目、文件、收款、递延收益确认</x:v>
      </x:c>
      <x:c r="E10" s="14" t="str">
        <x:v>2022</x:v>
      </x:c>
      <x:c r="F10" s="14" t="str">
        <x:v>PDF</x:v>
      </x:c>
      <x:c r="G10" s="14" t="str">
        <x:v>财务部</x:v>
      </x:c>
      <x:c r="H10" s="26" t="str">
        <x:v>中</x:v>
      </x:c>
      <x:c r="I10" s="27" t="n">
        <x:v>44935</x:v>
      </x:c>
      <x:c r="J10" s="27"/>
      <x:c r="K10" s="26" t="str">
        <x:v>未提供</x:v>
      </x:c>
      <x:c r="L10" s="14" t="str"/>
    </x:row>
    <x:row r="11">
      <x:c r="A11" s="26" t="n">
        <x:v>10</x:v>
      </x:c>
      <x:c r="B11" s="26" t="str">
        <x:v>其他重点项目</x:v>
      </x:c>
      <x:c r="C11" s="14" t="str">
        <x:v>研发项目明细</x:v>
      </x:c>
      <x:c r="D11" s="14" t="str">
        <x:v>项目、人员、材料、费用归集和资本化判断</x:v>
      </x:c>
      <x:c r="E11" s="14" t="str">
        <x:v>2022</x:v>
      </x:c>
      <x:c r="F11" s="14" t="str">
        <x:v>Excel</x:v>
      </x:c>
      <x:c r="G11" s="14" t="str">
        <x:v>研发部/财务部</x:v>
      </x:c>
      <x:c r="H11" s="26" t="str">
        <x:v>中</x:v>
      </x:c>
      <x:c r="I11" s="27" t="n">
        <x:v>44935</x:v>
      </x:c>
      <x:c r="J11" s="27"/>
      <x:c r="K11" s="26" t="str">
        <x:v>未提供</x:v>
      </x:c>
      <x:c r="L11" s="14" t="str"/>
    </x:row>
  </x:sheetData>
  <x:conditionalFormatting sqref="K2:K11">
    <x:cfRule type="containsText" dxfId="18" priority="1" operator="containsText" text="已提供"/>
    <x:cfRule type="containsText" dxfId="19" priority="2" operator="containsText" text="待补充"/>
  </x:conditionalFormatting>
  <x:conditionalFormatting sqref="A2:L11">
    <x:cfRule type="expression" dxfId="20" priority="3">
      <x:formula>AND($K2&lt;&gt;"已提供",$I2&lt;TODAY())</x:formula>
    </x:cfRule>
  </x:conditionalFormatting>
  <x:dataValidations count="2">
    <x:dataValidation type="list" sqref="H2:H11">
      <x:formula1>"高,中,低"</x:formula1>
    </x:dataValidation>
    <x:dataValidation type="list" sqref="K2:K11">
      <x:formula1>"未提供,已提供,待补充"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9b917bd4054ee0"/>
  </x:tableParts>
</x:worksheet>
</file>